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0b2a55a0904f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UONG_DAN" sheetId="1" r:id="R046cace3928e4c96"/>
    <x:sheet xmlns:r="http://schemas.openxmlformats.org/officeDocument/2006/relationships" name="TEST_DESIGN" sheetId="2" r:id="R8cbd773fe1044d01"/>
    <x:sheet xmlns:r="http://schemas.openxmlformats.org/officeDocument/2006/relationships" name="TEST_CASES" sheetId="3" r:id="Rc958a52bfa314ee1"/>
    <x:sheet xmlns:r="http://schemas.openxmlformats.org/officeDocument/2006/relationships" name="TEST_DATA" sheetId="4" r:id="R018735ab103b4fe8"/>
    <x:sheet xmlns:r="http://schemas.openxmlformats.org/officeDocument/2006/relationships" name="AUTOMATION_PLAN" sheetId="5" r:id="Re94af1485aa441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7"/>
      <x:color rgb="FFFFFFFF"/>
      <x:name val="Carlito"/>
    </x:font>
    <x:font>
      <x:sz val="10"/>
      <x:color rgb="FF152C47"/>
      <x:name val="Carlito"/>
    </x:font>
    <x:font>
      <x:b/>
      <x:sz val="11"/>
      <x:color rgb="FFFFFFFF"/>
      <x:name val="Carlito"/>
    </x:font>
    <x:font>
      <x:b/>
      <x:sz val="11"/>
      <x:color rgb="FF152C47"/>
      <x:name val="Carlito"/>
    </x:font>
    <x:font>
      <x:sz val="10"/>
      <x:color rgb="FF172B4D"/>
      <x:name val="Arial"/>
    </x:font>
    <x:font>
      <x:b/>
      <x:sz val="10"/>
      <x:color rgb="FF172B4D"/>
      <x:name val="Arial"/>
    </x:font>
    <x:font>
      <x:b/>
      <x:sz val="16"/>
      <x:color rgb="FF172B4D"/>
      <x:name val="Arial"/>
    </x:font>
    <x:font>
      <x:sz val="10"/>
      <x:color rgb="FF44546A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52C47"/>
      </x:patternFill>
    </x:fill>
    <x:fill>
      <x:patternFill patternType="solid">
        <x:fgColor rgb="FFE8F2FB"/>
      </x:patternFill>
    </x:fill>
    <x:fill>
      <x:patternFill patternType="solid">
        <x:fgColor rgb="FF1D5D9B"/>
      </x:patternFill>
    </x:fill>
    <x:fill>
      <x:patternFill patternType="solid">
        <x:fgColor rgb="FFE7F0F8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vertical="center"/>
    </x:xf>
    <x:xf numFmtId="0" fontId="2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/>
    </x:xf>
    <x:xf numFmtId="0" fontId="8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0"/>
    </x:xf>
    <x:xf numFmtId="0" fontId="8" fillId="6" borderId="0" xfId="0" applyNumberFormat="1" applyFont="1" applyFill="1" applyBorder="1" applyAlignment="1">
      <x:alignment wrapText="0"/>
    </x:xf>
  </x:cellXfs>
  <x:cellStyles count="1">
    <x:cellStyle name="Normal" xfId="0"/>
  </x:cellStyles>
  <x:dxfs count="7">
    <x:dxf>
      <x:font>
        <x:color rgb="FF17643A"/>
      </x:font>
      <x:fill>
        <x:patternFill>
          <x:bgColor rgb="FFD8F5DF"/>
        </x:patternFill>
      </x:fill>
    </x:dxf>
    <x:dxf>
      <x:font>
        <x:color rgb="FFB42318"/>
      </x:font>
      <x:fill>
        <x:patternFill>
          <x:bgColor rgb="FFFFE1E1"/>
        </x:patternFill>
      </x:fill>
    </x:dxf>
    <x:dxf>
      <x:font>
        <x:color rgb="FF9C3A0C"/>
      </x:font>
      <x:fill>
        <x:patternFill>
          <x:bgColor rgb="FFFFE5C8"/>
        </x:patternFill>
      </x:fill>
    </x:dxf>
    <x:dxf>
      <x:font>
        <x:color rgb="FF215E21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a969afb17e4c3e" /><Relationship Type="http://schemas.openxmlformats.org/officeDocument/2006/relationships/theme" Target="/xl/theme/theme1.xml" Id="Rc07097acb3604db4" /><Relationship Type="http://schemas.openxmlformats.org/officeDocument/2006/relationships/sharedStrings" Target="/xl/sharedStrings.xml" Id="R925472a296af4467" /><Relationship Type="http://schemas.openxmlformats.org/officeDocument/2006/relationships/worksheet" Target="/xl/worksheets/sheet1.xml" Id="R046cace3928e4c96" /><Relationship Type="http://schemas.openxmlformats.org/officeDocument/2006/relationships/worksheet" Target="/xl/worksheets/sheet2.xml" Id="R8cbd773fe1044d01" /><Relationship Type="http://schemas.openxmlformats.org/officeDocument/2006/relationships/worksheet" Target="/xl/worksheets/sheet3.xml" Id="Rc958a52bfa314ee1" /><Relationship Type="http://schemas.openxmlformats.org/officeDocument/2006/relationships/worksheet" Target="/xl/worksheets/sheet4.xml" Id="R018735ab103b4fe8" /><Relationship Type="http://schemas.openxmlformats.org/officeDocument/2006/relationships/worksheet" Target="/xl/worksheets/sheet5.xml" Id="Re94af1485aa4416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7" hidden="0" customWidth="1"/>
    <x:col min="2" max="2" width="110" hidden="0" customWidth="1"/>
  </x:cols>
  <x:sheetData>
    <x:row r="1" ht="34" customHeight="1">
      <x:c r="A1" s="40" t="str">
        <x:v>ASSIGNMENT 6 · KIỂM THỬ BUILD PC</x:v>
      </x:c>
      <x:c r="B1" s="36"/>
      <x:c r="C1" s="4"/>
      <x:c r="D1" s="4"/>
      <x:c r="E1" s="4"/>
      <x:c r="F1" s="4"/>
      <x:c r="G1" s="4"/>
      <x:c r="H1" s="4"/>
    </x:row>
    <x:row r="2" ht="36" customHeight="1">
      <x:c r="A2" s="41" t="str">
        <x:v>Dự án CellphoneS | Nhóm 15 | Thành viên: Quách Hồng Nhân | Ngày lập: 23/10/2026</x:v>
      </x:c>
      <x:c r="B2" s="37"/>
      <x:c r="C2" s="10"/>
      <x:c r="D2" s="10"/>
      <x:c r="E2" s="10"/>
      <x:c r="F2" s="10"/>
      <x:c r="G2" s="10"/>
      <x:c r="H2" s="10"/>
    </x:row>
    <x:row r="4" ht="32" customHeight="1">
      <x:c r="A4" s="16" t="str">
        <x:v>THÔNG TIN</x:v>
      </x:c>
      <x:c r="B4" s="16" t="str">
        <x:v>GIÁ TRỊ</x:v>
      </x:c>
    </x:row>
    <x:row r="5" ht="31" customHeight="1">
      <x:c r="A5" s="25" t="str">
        <x:v>Trang kiểm thử</x:v>
      </x:c>
      <x:c r="B5" s="22" t="str">
        <x:v>https://cellphones.com.vn/may-tinh-de-ban/build-pc.html</x:v>
      </x:c>
    </x:row>
    <x:row r="6" ht="31" customHeight="1">
      <x:c r="A6" s="25" t="str">
        <x:v>Repository</x:v>
      </x:c>
      <x:c r="B6" s="22" t="str">
        <x:v>https://github.com/22130243VoDaiThanhTai/CellphoneS_SoftwareTesting_Group15</x:v>
      </x:c>
    </x:row>
    <x:row r="7" ht="31" customHeight="1">
      <x:c r="A7" s="25" t="str">
        <x:v>Nhánh cá nhân</x:v>
      </x:c>
      <x:c r="B7" s="22" t="str">
        <x:v>HongNhan</x:v>
      </x:c>
    </x:row>
    <x:row r="8" ht="31" customHeight="1">
      <x:c r="A8" s="25" t="str">
        <x:v>Phạm vi tuần này</x:v>
      </x:c>
      <x:c r="B8" s="22" t="str">
        <x:v>Xây dựng và quản lý cấu hình PC</x:v>
      </x:c>
    </x:row>
    <x:row r="9" ht="31" customHeight="1">
      <x:c r="A9" s="25" t="str">
        <x:v>Số test case</x:v>
      </x:c>
      <x:c r="B9" s="22" t="n">
        <x:f>COUNTA(TEST_CASES!A5:A34)</x:f>
        <x:v>30</x:v>
      </x:c>
    </x:row>
    <x:row r="10" ht="31" customHeight="1">
      <x:c r="A10" s="25" t="str">
        <x:v>Đã Pass</x:v>
      </x:c>
      <x:c r="B10" s="22" t="n">
        <x:f>COUNTIF(TEST_CASES!I5:I34,"Pass")</x:f>
        <x:v>26</x:v>
      </x:c>
    </x:row>
    <x:row r="11" ht="31" customHeight="1">
      <x:c r="A11" s="25" t="str">
        <x:v>Đã Fail</x:v>
      </x:c>
      <x:c r="B11" s="22" t="n">
        <x:f>COUNTIF(TEST_CASES!I5:I34,"Fail")</x:f>
        <x:v>0</x:v>
      </x:c>
    </x:row>
    <x:row r="12" ht="31" customHeight="1">
      <x:c r="A12" s="25" t="str">
        <x:v>Chưa chạy</x:v>
      </x:c>
      <x:c r="B12" s="22" t="n">
        <x:f>COUNTIF(TEST_CASES!I5:I34,"Not Run")</x:f>
        <x:v>0</x:v>
      </x:c>
    </x:row>
    <x:row r="13" ht="50" customHeight="1">
      <x:c r="A13" s="25" t="str">
        <x:v>Đề xuất có thể tự động</x:v>
      </x:c>
      <x:c r="B13" s="22" t="n">
        <x:f>COUNTIF(TEST_CASES!L5:L34,"Yes")</x:f>
        <x:v>22</x:v>
      </x:c>
    </x:row>
    <x:row r="14" ht="31" customHeight="1">
      <x:c r="A14" s="25" t="str">
        <x:v>Cần xác minh tính năng</x:v>
      </x:c>
      <x:c r="B14" s="22" t="n">
        <x:f>COUNTIF(TEST_CASES!L5:L34,"Maybe")</x:f>
        <x:v>8</x:v>
      </x:c>
    </x:row>
    <x:row r="15" ht="58" customHeight="1">
      <x:c r="A15" s="25" t="str">
        <x:v>Trạng thái hiện tại</x:v>
      </x:c>
      <x:c r="B15" s="22" t="str">
        <x:v>Đã thực thi 30 case trên UI: 26 Pass, 0 Fail, 2 Blocked, 2 N/A. Bộ Playwright độc lập đã viết, chưa chạy bằng CLI.</x:v>
      </x:c>
    </x:row>
    <x:row r="16" ht="58" customHeight="1">
      <x:c r="A16" s="25" t="str">
        <x:v>Nguồn chức năng lưu/tải báo giá</x:v>
      </x:c>
      <x:c r="B16" s="22" t="str">
        <x:v>https://cellphones.com.vn/sforum/cellphones-ra-mat-trang-build-pc-uu-dai-len-den-1-trieu-dong-khi-xay-dung-cau-hinh</x:v>
      </x:c>
    </x:row>
    <x:row r="17" ht="58" customHeight="1">
      <x:c r="A17" s="25" t="str">
        <x:v>Tình trạng mẫu Excel giảng viên</x:v>
      </x:c>
      <x:c r="B17" s="22" t="str">
        <x:v>Không truy cập được trực tiếp tại thời điểm tạo; định dạng thay thế rõ các trường bắt buộc.</x:v>
      </x:c>
    </x:row>
    <x:row r="18" ht="58" customHeight="1">
      <x:c r="A18" s="25" t="str">
        <x:v>Dữ liệu giá</x:v>
      </x:c>
      <x:c r="B18" s="22" t="str">
        <x:v>Tên sản phẩm và giá thực được ghi ở TEST_DATA; giá chỉ có giá trị tại lần chạy ngày 23/10/2026.</x:v>
      </x:c>
    </x:row>
    <x:row r="19" ht="58" customHeight="1">
      <x:c r="A19" s="25" t="str">
        <x:v>Tên file</x:v>
      </x:c>
      <x:c r="B19" s="22" t="str">
        <x:v>Group15_MaSV_QuachHongNhan.xlsx — chưa được cung cấp MSSV, cần thay MaSV trước khi nộp.</x:v>
      </x:c>
    </x:row>
    <x:row r="20" ht="58" customHeight="1">
      <x:c r="A20" s="25" t="str">
        <x:v>LƯU Ý</x:v>
      </x:c>
      <x:c r="B20" s="22" t="str">
        <x:v>PC-024 thiếu dữ liệu hết hàng; PC-029 không nhận download trong IAB; PC-027/028 không có thao tác lưu/mở cấu hình trong UI khảo sát.</x:v>
      </x:c>
    </x:row>
    <x:row r="21" ht="42" customHeight="1">
      <x:c r="A21" s="35" t="str">
        <x:v>Blocked</x:v>
      </x:c>
      <x:c r="B21" s="33" t="n">
        <x:f>COUNTIF(TEST_CASES!I5:I34,"Blocked")</x:f>
        <x:v>2</x:v>
      </x:c>
    </x:row>
    <x:row r="22" ht="42" customHeight="1">
      <x:c r="A22" s="35" t="str">
        <x:v>N/A</x:v>
      </x:c>
      <x:c r="B22" s="33" t="n">
        <x:f>COUNTIF(TEST_CASES!I5:I34,"N/A")</x:f>
        <x:v>2</x:v>
      </x:c>
    </x:row>
    <x:row r="23" ht="42" customHeight="1">
      <x:c r="A23" s="35" t="str">
        <x:v>Môi trường</x:v>
      </x:c>
      <x:c r="B23" s="33" t="str">
        <x:v>IAB desktop, macOS, khu vực Hồ Chí Minh, chưa đăng nhập CellphoneS.</x:v>
      </x:c>
    </x:row>
    <x:row r="24" ht="42" customHeight="1">
      <x:c r="A24" s="35" t="str">
        <x:v>Kết quả bổ sung</x:v>
      </x:c>
      <x:c r="B24" s="33" t="str">
        <x:v>Số lượng: tăng 1→2, giảm 2→1 đúng tổng; giảm tại 1 mở xác nhận xóa. Hủy xóa giữ nguyên dữ liệu.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26" hidden="0" customWidth="1"/>
    <x:col min="3" max="3" width="66" hidden="0" customWidth="1"/>
    <x:col min="4" max="4" width="42" hidden="0" customWidth="1"/>
    <x:col min="5" max="5" width="36" hidden="0" customWidth="1"/>
    <x:col min="6" max="6" width="32" hidden="0" customWidth="1"/>
    <x:col min="7" max="7" width="26" hidden="0" customWidth="1"/>
    <x:col min="8" max="8" width="54" hidden="0" customWidth="1"/>
  </x:cols>
  <x:sheetData>
    <x:row r="1" ht="34" customHeight="1">
      <x:c r="A1" s="40" t="str">
        <x:v>TEST DESIGN | PHÂN TÍCH CHỨC NĂNG</x:v>
      </x:c>
      <x:c r="B1" s="36"/>
      <x:c r="C1" s="36"/>
      <x:c r="D1" s="36"/>
      <x:c r="E1" s="36"/>
      <x:c r="F1" s="36"/>
      <x:c r="G1" s="36"/>
      <x:c r="H1" s="36"/>
    </x:row>
    <x:row r="2" ht="36" customHeight="1">
      <x:c r="A2" s="41" t="str">
        <x:v>Mục tiêu, phạm vi, kỹ thuật, rủi ro và tiêu chí kiểm thử cho Build PC</x:v>
      </x:c>
      <x:c r="B2" s="37"/>
      <x:c r="C2" s="37"/>
      <x:c r="D2" s="37"/>
      <x:c r="E2" s="37"/>
      <x:c r="F2" s="37"/>
      <x:c r="G2" s="37"/>
      <x:c r="H2" s="37"/>
    </x:row>
    <x:row r="4" ht="32" customHeight="1">
      <x:c r="A4" s="16" t="str">
        <x:v>Design ID</x:v>
      </x:c>
      <x:c r="B4" s="16" t="str">
        <x:v>Nhóm</x:v>
      </x:c>
      <x:c r="C4" s="16" t="str">
        <x:v>Mục tiêu kiểm thử</x:v>
      </x:c>
      <x:c r="D4" s="16" t="str">
        <x:v>Đầu vào</x:v>
      </x:c>
      <x:c r="E4" s="16" t="str">
        <x:v>Điều kiện trước</x:v>
      </x:c>
      <x:c r="F4" s="16" t="str">
        <x:v>Kỹ thuật</x:v>
      </x:c>
      <x:c r="G4" s="16" t="str">
        <x:v>Case ID</x:v>
      </x:c>
      <x:c r="H4" s="16" t="str">
        <x:v>Rủi ro / Ghi chú</x:v>
      </x:c>
    </x:row>
    <x:row r="5" ht="100" customHeight="1">
      <x:c r="A5" s="25" t="str">
        <x:v>TD-01</x:v>
      </x:c>
      <x:c r="B5" s="22" t="str">
        <x:v>Điều hướng</x:v>
      </x:c>
      <x:c r="C5" s="22" t="str">
        <x:v>Đến đúng công cụ Build PC bằng URL/menu</x:v>
      </x:c>
      <x:c r="D5" s="22" t="str">
        <x:v>URL; thao tác menu</x:v>
      </x:c>
      <x:c r="E5" s="22" t="str">
        <x:v>Website khả dụng</x:v>
      </x:c>
      <x:c r="F5" s="22" t="str">
        <x:v>Smoke, Navigation</x:v>
      </x:c>
      <x:c r="G5" s="22" t="str">
        <x:v>PC-001, PC-003</x:v>
      </x:c>
      <x:c r="H5" s="22" t="str">
        <x:v>Dễ bị đổi đường dẫn/menu</x:v>
      </x:c>
    </x:row>
    <x:row r="6" ht="100" customHeight="1">
      <x:c r="A6" s="25" t="str">
        <x:v>TD-02</x:v>
      </x:c>
      <x:c r="B6" s="22" t="str">
        <x:v>Trạng thái rỗng</x:v>
      </x:c>
      <x:c r="C6" s="22" t="str">
        <x:v>Đảm bảo cấu hình ban đầu không chứa dữ liệu rác</x:v>
      </x:c>
      <x:c r="D6" s="22" t="str">
        <x:v>0 sản phẩm</x:v>
      </x:c>
      <x:c r="E6" s="22" t="str">
        <x:v>Phiên sạch</x:v>
      </x:c>
      <x:c r="F6" s="22" t="str">
        <x:v>State transition, Boundary</x:v>
      </x:c>
      <x:c r="G6" s="22" t="str">
        <x:v>PC-002, PC-023</x:v>
      </x:c>
      <x:c r="H6" s="22" t="str">
        <x:v>Giá hiển thị có thể khác 0/ẩn</x:v>
      </x:c>
    </x:row>
    <x:row r="7" ht="100" customHeight="1">
      <x:c r="A7" s="25" t="str">
        <x:v>TD-03</x:v>
      </x:c>
      <x:c r="B7" s="22" t="str">
        <x:v>Danh sách lựa chọn</x:v>
      </x:c>
      <x:c r="C7" s="22" t="str">
        <x:v>Đúng danh mục, popup đóng không thêm nhầm</x:v>
      </x:c>
      <x:c r="D7" s="22" t="str">
        <x:v>CPU; danh sách hợp lệ</x:v>
      </x:c>
      <x:c r="E7" s="22" t="str">
        <x:v>Có catalog</x:v>
      </x:c>
      <x:c r="F7" s="22" t="str">
        <x:v>Functional, Negative</x:v>
      </x:c>
      <x:c r="G7" s="22" t="str">
        <x:v>PC-004, PC-005</x:v>
      </x:c>
      <x:c r="H7" s="22" t="str">
        <x:v>Đã mở/đóng popup CPU, không thay đổi khi đóng.</x:v>
      </x:c>
    </x:row>
    <x:row r="8" ht="100" customHeight="1">
      <x:c r="A8" s="25" t="str">
        <x:v>TD-04</x:v>
      </x:c>
      <x:c r="B8" s="22" t="str">
        <x:v>Lựa chọn phần cứng</x:v>
      </x:c>
      <x:c r="C8" s="22" t="str">
        <x:v>Chọn đúng CPU/Main/RAM/SSD/GPU/PSU/Case/Cooler</x:v>
      </x:c>
      <x:c r="D8" s="22" t="str">
        <x:v>Các sản phẩm còn hàng</x:v>
      </x:c>
      <x:c r="E8" s="22" t="str">
        <x:v>Catalog có item</x:v>
      </x:c>
      <x:c r="F8" s="22" t="str">
        <x:v>Equivalence, Functional</x:v>
      </x:c>
      <x:c r="G8" s="22" t="str">
        <x:v>PC-006 ... PC-014</x:v>
      </x:c>
      <x:c r="H8" s="22" t="str">
        <x:v>Không cố định mã SKU vì catalog biến động</x:v>
      </x:c>
    </x:row>
    <x:row r="9" ht="100" customHeight="1">
      <x:c r="A9" s="25" t="str">
        <x:v>TD-05</x:v>
      </x:c>
      <x:c r="B9" s="22" t="str">
        <x:v>Quản lý cấu hình</x:v>
      </x:c>
      <x:c r="C9" s="22" t="str">
        <x:v>Thay thế, xóa, reset, giữ các nhóm khác</x:v>
      </x:c>
      <x:c r="D9" s="22" t="str">
        <x:v>SP_A -&gt; SP_B; reset</x:v>
      </x:c>
      <x:c r="E9" s="22" t="str">
        <x:v>Đã có cấu hình</x:v>
      </x:c>
      <x:c r="F9" s="22" t="str">
        <x:v>State transition, Regression</x:v>
      </x:c>
      <x:c r="G9" s="22" t="str">
        <x:v>PC-015 ... PC-018</x:v>
      </x:c>
      <x:c r="H9" s="22" t="str">
        <x:v>UI có xác nhận xóa từng dòng và Chọn lại từ đầu; đã kiểm tra.</x:v>
      </x:c>
    </x:row>
    <x:row r="10" ht="100" customHeight="1">
      <x:c r="A10" s="25" t="str">
        <x:v>TD-06</x:v>
      </x:c>
      <x:c r="B10" s="22" t="str">
        <x:v>Tổng giá</x:v>
      </x:c>
      <x:c r="C10" s="22" t="str">
        <x:v>Giá tổng và thay đổi sau thao tác đúng</x:v>
      </x:c>
      <x:c r="D10" s="22" t="str">
        <x:v>Giá theo UI; discount</x:v>
      </x:c>
      <x:c r="E10" s="22" t="str">
        <x:v>Có sản phẩm còn hàng</x:v>
      </x:c>
      <x:c r="F10" s="22" t="str">
        <x:v>Calculation, Boundary</x:v>
      </x:c>
      <x:c r="G10" s="22" t="str">
        <x:v>PC-019 ... PC-023</x:v>
      </x:c>
      <x:c r="H10" s="22" t="str">
        <x:v>Ưu đãi có thể làm tổng lệch tổng đơn giá thô</x:v>
      </x:c>
    </x:row>
    <x:row r="11" ht="100" customHeight="1">
      <x:c r="A11" s="25" t="str">
        <x:v>TD-07</x:v>
      </x:c>
      <x:c r="B11" s="22" t="str">
        <x:v>Hết hàng &amp; tìm kiếm</x:v>
      </x:c>
      <x:c r="C11" s="22" t="str">
        <x:v>Cập nhật trạng thái/không có kết quả rõ ràng</x:v>
      </x:c>
      <x:c r="D11" s="22" t="str">
        <x:v>SKU hết hàng; keyword</x:v>
      </x:c>
      <x:c r="E11" s="22" t="str">
        <x:v>UI hỗ trợ tính năng</x:v>
      </x:c>
      <x:c r="F11" s="22" t="str">
        <x:v>Negative, Equivalence</x:v>
      </x:c>
      <x:c r="G11" s="22" t="str">
        <x:v>PC-024 ... PC-026</x:v>
      </x:c>
      <x:c r="H11" s="22" t="str">
        <x:v>Search có hỗ trợ và đã chạy; PC-024 Blocked do chưa có dữ liệu hết hàng.</x:v>
      </x:c>
    </x:row>
    <x:row r="12" ht="100" customHeight="1">
      <x:c r="A12" s="25" t="str">
        <x:v>TD-08</x:v>
      </x:c>
      <x:c r="B12" s="22" t="str">
        <x:v>Lưu cấu hình</x:v>
      </x:c>
      <x:c r="C12" s="22" t="str">
        <x:v>Cấu hình lưu được hoặc có thông báo điều kiện</x:v>
      </x:c>
      <x:c r="D12" s="22" t="str">
        <x:v>Cấu hình hợp lệ</x:v>
      </x:c>
      <x:c r="E12" s="22" t="str">
        <x:v>Có nút lưu</x:v>
      </x:c>
      <x:c r="F12" s="22" t="str">
        <x:v>Persistence, Functional</x:v>
      </x:c>
      <x:c r="G12" s="22" t="str">
        <x:v>PC-027, PC-028</x:v>
      </x:c>
      <x:c r="H12" s="22" t="str">
        <x:v>Khảo sát UI 23/10/2026 không có nút Lưu hoặc mục cấu hình đã lưu; PC-027/028 N/A.</x:v>
      </x:c>
    </x:row>
    <x:row r="13" ht="100" customHeight="1">
      <x:c r="A13" s="25" t="str">
        <x:v>TD-09</x:v>
      </x:c>
      <x:c r="B13" s="22" t="str">
        <x:v>Xuất báo giá</x:v>
      </x:c>
      <x:c r="C13" s="22" t="str">
        <x:v>File tải về mở được, giá/tên đúng</x:v>
      </x:c>
      <x:c r="D13" s="22" t="str">
        <x:v>Cấu hình đã chọn</x:v>
      </x:c>
      <x:c r="E13" s="22" t="str">
        <x:v>Có nút Tải báo giá</x:v>
      </x:c>
      <x:c r="F13" s="22" t="str">
        <x:v>Download verification</x:v>
      </x:c>
      <x:c r="G13" s="22" t="str">
        <x:v>PC-029</x:v>
      </x:c>
      <x:c r="H13" s="22" t="str">
        <x:v>Nút thực tế Tải file cấu hình. Đã click nhưng IAB không nhận download trong 20 giây; PC-029 Blocked.</x:v>
      </x:c>
    </x:row>
    <x:row r="14" ht="100" customHeight="1">
      <x:c r="A14" s="25" t="str">
        <x:v>TD-10</x:v>
      </x:c>
      <x:c r="B14" s="22" t="str">
        <x:v>Chống thao tác trùng</x:v>
      </x:c>
      <x:c r="C14" s="22" t="str">
        <x:v>Double click không tạo sản phẩm trùng vô ý</x:v>
      </x:c>
      <x:c r="D14" s="22" t="str">
        <x:v>Double click</x:v>
      </x:c>
      <x:c r="E14" s="22" t="str">
        <x:v>Popup đang mở</x:v>
      </x:c>
      <x:c r="F14" s="22" t="str">
        <x:v>Boundary, Idempotency</x:v>
      </x:c>
      <x:c r="G14" s="22" t="str">
        <x:v>PC-030</x:v>
      </x:c>
      <x:c r="H14" s="22" t="str">
        <x:v>Có thể cần dùng kiểm thử thủ công để đối chiếu</x:v>
      </x:c>
    </x:row>
    <x:row r="17" ht="28" customHeight="1">
      <x:c r="A17" s="29" t="str">
        <x:v>TIÊU CHÍ BẮT ĐẦU / KẾT THÚC</x:v>
      </x:c>
      <x:c r="B17" s="29"/>
      <x:c r="C17" s="29"/>
      <x:c r="D17" s="29"/>
      <x:c r="E17" s="29"/>
      <x:c r="F17" s="29"/>
      <x:c r="G17" s="29"/>
      <x:c r="H17" s="29"/>
    </x:row>
    <x:row r="18" ht="32" customHeight="1">
      <x:c r="A18" s="20" t="str">
        <x:v>Bắt đầu: website truy cập được; dữ liệu sản phẩm còn hàng; xác định được tên và giá hiển thị; trạng thái phiên sạch.</x:v>
      </x:c>
      <x:c r="B18" s="20"/>
      <x:c r="C18" s="20"/>
      <x:c r="D18" s="20"/>
      <x:c r="E18" s="20"/>
      <x:c r="F18" s="20"/>
      <x:c r="G18" s="20"/>
      <x:c r="H18" s="20"/>
    </x:row>
    <x:row r="19" ht="32" customHeight="1">
      <x:c r="A19" s="20" t="str">
        <x:v>Kết thúc thiết kế: đủ 30 case; từng case có precondition / steps / data / expected; mapping Test Design và Automation; trạng thái mặc định Not Run.</x:v>
      </x:c>
      <x:c r="B19" s="20"/>
      <x:c r="C19" s="20"/>
      <x:c r="D19" s="20"/>
      <x:c r="E19" s="20"/>
      <x:c r="F19" s="20"/>
      <x:c r="G19" s="20"/>
      <x:c r="H19" s="20"/>
    </x:row>
    <x:row r="20" ht="32" customHeight="1">
      <x:c r="A20" s="20" t="str">
        <x:v>Kết thúc thực thi: ghi Actual Result, Status, ảnh lỗi, ngày và môi trường chạy; lập defect cho case Fail/Blocked.</x:v>
      </x:c>
      <x:c r="B20" s="20"/>
      <x:c r="C20" s="20"/>
      <x:c r="D20" s="20"/>
      <x:c r="E20" s="20"/>
      <x:c r="F20" s="20"/>
      <x:c r="G20" s="20"/>
      <x:c r="H20" s="20"/>
    </x:row>
  </x:sheetData>
  <x:mergeCells>
    <x:mergeCell ref="A17:H17"/>
    <x:mergeCell ref="A18:H18"/>
    <x:mergeCell ref="A19:H19"/>
    <x:mergeCell ref="A20:H2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24" hidden="0" customWidth="1"/>
    <x:col min="3" max="3" width="36" hidden="0" customWidth="1"/>
    <x:col min="4" max="4" width="40" hidden="0" customWidth="1"/>
    <x:col min="5" max="5" width="52" hidden="0" customWidth="1"/>
    <x:col min="6" max="6" width="40" hidden="0" customWidth="1"/>
    <x:col min="7" max="7" width="62" hidden="0" customWidth="1"/>
    <x:col min="8" max="8" width="65" hidden="0" customWidth="1"/>
    <x:col min="9" max="9" width="14" hidden="0" customWidth="1"/>
    <x:col min="10" max="10" width="14" hidden="0" customWidth="1"/>
    <x:col min="11" max="11" width="22" hidden="0" customWidth="1"/>
    <x:col min="12" max="12" width="15" hidden="0" customWidth="1"/>
    <x:col min="13" max="13" width="74" hidden="0" customWidth="1"/>
  </x:cols>
  <x:sheetData>
    <x:row r="1" ht="34" customHeight="1">
      <x:c r="A1" s="40" t="str">
        <x:v>TEST CASES | BUILD PC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</x:row>
    <x:row r="2" ht="44" customHeight="1">
      <x:c r="A2" s="41" t="str">
        <x:v>Kết quả thực thi UI ngày 23/10/2026: 26 Pass, 0 Fail, 2 Blocked, 2 N/A. Mỗi case có Actual Result và đường dẫn bằng chứng.</x:v>
      </x:c>
      <x:c r="B2" s="37"/>
      <x:c r="C2" s="37"/>
      <x:c r="D2" s="37"/>
      <x:c r="E2" s="37"/>
      <x:c r="F2" s="37"/>
      <x:c r="G2" s="37"/>
      <x:c r="H2" s="37"/>
      <x:c r="I2" s="37"/>
      <x:c r="J2" s="37"/>
      <x:c r="K2" s="37"/>
      <x:c r="L2" s="37"/>
      <x:c r="M2" s="37"/>
    </x:row>
    <x:row r="4" ht="32" customHeight="1">
      <x:c r="A4" s="16" t="str">
        <x:v>Test Case ID</x:v>
      </x:c>
      <x:c r="B4" s="16" t="str">
        <x:v>Nhóm chức năng</x:v>
      </x:c>
      <x:c r="C4" s="16" t="str">
        <x:v>Test Scenario / Objective</x:v>
      </x:c>
      <x:c r="D4" s="16" t="str">
        <x:v>Preconditions</x:v>
      </x:c>
      <x:c r="E4" s="16" t="str">
        <x:v>Test Steps</x:v>
      </x:c>
      <x:c r="F4" s="16" t="str">
        <x:v>Test Data / Input</x:v>
      </x:c>
      <x:c r="G4" s="16" t="str">
        <x:v>Expected Result</x:v>
      </x:c>
      <x:c r="H4" s="16" t="str">
        <x:v>Actual Result</x:v>
      </x:c>
      <x:c r="I4" s="16" t="str">
        <x:v>Status</x:v>
      </x:c>
      <x:c r="J4" s="16" t="str">
        <x:v>Priority</x:v>
      </x:c>
      <x:c r="K4" s="16" t="str">
        <x:v>Test Technique</x:v>
      </x:c>
      <x:c r="L4" s="16" t="str">
        <x:v>Automation</x:v>
      </x:c>
      <x:c r="M4" s="16" t="str">
        <x:v>Notes / Assumptions</x:v>
      </x:c>
    </x:row>
    <x:row r="5" ht="150" customHeight="1">
      <x:c r="A5" s="25" t="str">
        <x:v>PC-001</x:v>
      </x:c>
      <x:c r="B5" s="22" t="str">
        <x:v>Truy cập &amp; trạng thái</x:v>
      </x:c>
      <x:c r="C5" s="22" t="str">
        <x:v>Mở trang Build PC bằng URL trực tiếp</x:v>
      </x:c>
      <x:c r="D5" s="22" t="str">
        <x:v>Có Internet, trình duyệt hoạt động.</x:v>
      </x:c>
      <x:c r="E5" s="22" t="str">
        <x:v>1. Mở cửa sổ mới.
2. Truy cập URL Build PC.
3. Đợi tải nội dung chính.
4. Quan sát tiêu đề và vùng cấu hình.</x:v>
      </x:c>
      <x:c r="F5" s="22" t="str">
        <x:v>https://cellphones.com.vn/may-tinh-de-ban/build-pc.html</x:v>
      </x:c>
      <x:c r="G5" s="22" t="str">
        <x:v>Trang mở thành công; hiển thị tiêu đề Build PC và khu vực lựa chọn cấu hình; không có lỗi chặn tương tác.</x:v>
      </x:c>
      <x:c r="H5" s="22" t="str">
        <x:v>Trang Build PC tải thành công. Đóng popup CPU không chọn sản phẩm: 14 nhóm vẫn Chọn, hiển thị Bạn chưa chọn cấu hình nào, không có tổng tiền cũ.</x:v>
      </x:c>
      <x:c r="I5" s="22" t="str">
        <x:v>Pass</x:v>
      </x:c>
      <x:c r="J5" s="22" t="str">
        <x:v>Critical</x:v>
      </x:c>
      <x:c r="K5" s="22" t="str">
        <x:v>Smoke</x:v>
      </x:c>
      <x:c r="L5" s="22" t="str">
        <x:v>Yes</x:v>
      </x:c>
      <x:c r="M5" s="22" t="str">
        <x:v>Thực thi 23/10/2026, IAB desktop/macOS, Hồ Chí Minh. Bằng chứng: automation-plan/evidence/PC-001_002_005_023_empty.jpg</x:v>
      </x:c>
    </x:row>
    <x:row r="6" ht="150" customHeight="1">
      <x:c r="A6" s="25" t="str">
        <x:v>PC-002</x:v>
      </x:c>
      <x:c r="B6" s="22" t="str">
        <x:v>Truy cập &amp; trạng thái</x:v>
      </x:c>
      <x:c r="C6" s="22" t="str">
        <x:v>Hiển thị trạng thái cấu hình rỗng</x:v>
      </x:c>
      <x:c r="D6" s="22" t="str">
        <x:v>Phiên chưa chọn linh kiện; nếu có dữ liệu cũ thì xóa hoặc dùng phiên sạch.</x:v>
      </x:c>
      <x:c r="E6" s="22" t="str">
        <x:v>1. Mở trang Build PC bằng phiên sạch.
2. Quan sát thông báo/trạng thái cấu hình.
3. Kiểm tra các linh kiện và tổng tiền.</x:v>
      </x:c>
      <x:c r="F6" s="22" t="str">
        <x:v>Không có linh kiện đã chọn</x:v>
      </x:c>
      <x:c r="G6" s="22" t="str">
        <x:v>Trạng thái rỗng được thông báo rõ; không xuất hiện sản phẩm được chọn; tổng tiền không cộng sản phẩm chưa chọn.</x:v>
      </x:c>
      <x:c r="H6" s="22" t="str">
        <x:v>Trang Build PC tải thành công. Đóng popup CPU không chọn sản phẩm: 14 nhóm vẫn Chọn, hiển thị Bạn chưa chọn cấu hình nào, không có tổng tiền cũ.</x:v>
      </x:c>
      <x:c r="I6" s="22" t="str">
        <x:v>Pass</x:v>
      </x:c>
      <x:c r="J6" s="22" t="str">
        <x:v>High</x:v>
      </x:c>
      <x:c r="K6" s="22" t="str">
        <x:v>State transition</x:v>
      </x:c>
      <x:c r="L6" s="22" t="str">
        <x:v>Yes</x:v>
      </x:c>
      <x:c r="M6" s="22" t="str">
        <x:v>Thực thi 23/10/2026, IAB desktop/macOS, Hồ Chí Minh. Bằng chứng: automation-plan/evidence/PC-001_002_005_023_empty.jpg</x:v>
      </x:c>
    </x:row>
    <x:row r="7" ht="150" customHeight="1">
      <x:c r="A7" s="25" t="str">
        <x:v>PC-003</x:v>
      </x:c>
      <x:c r="B7" s="22" t="str">
        <x:v>Truy cập &amp; trạng thái</x:v>
      </x:c>
      <x:c r="C7" s="22" t="str">
        <x:v>Truy cập Build PC từ danh mục máy tính để bàn</x:v>
      </x:c>
      <x:c r="D7" s="22" t="str">
        <x:v>Đang ở trang CellphoneS; điều hướng danh mục khả dụng.</x:v>
      </x:c>
      <x:c r="E7" s="22" t="str">
        <x:v>1. Mở website CellphoneS.
2. Vào danh mục Máy tính để bàn.
3. Tìm và chọn Build PC.
4. Quan sát URL và nội dung đích.</x:v>
      </x:c>
      <x:c r="F7" s="22" t="str">
        <x:v>Danh mục Máy tính để bàn &gt; Build PC</x:v>
      </x:c>
      <x:c r="G7" s="22" t="str">
        <x:v>Chuyển đúng trang Build PC; nội dung chức năng được hiển thị; không chuyển nhầm sang danh sách PC nguyên bộ.</x:v>
      </x:c>
      <x:c r="H7" s="22" t="str">
        <x:v>Trong danh mục Máy tính để bàn, chọn liên kết Build PC; chuyển đúng /may-tinh-de-ban/build-pc.html, hiện tiêu đề và công cụ cấu hình.</x:v>
      </x:c>
      <x:c r="I7" s="22" t="str">
        <x:v>Pass</x:v>
      </x:c>
      <x:c r="J7" s="22" t="str">
        <x:v>Medium</x:v>
      </x:c>
      <x:c r="K7" s="22" t="str">
        <x:v>Navigation</x:v>
      </x:c>
      <x:c r="L7" s="22" t="str">
        <x:v>Maybe</x:v>
      </x:c>
      <x:c r="M7" s="22" t="str">
        <x:v>Kiểm tra lại vị trí menu theo UI hiện hành.
Thực thi 23/10/2026, IAB desktop/macOS, Hồ Chí Minh. Bằng chứng: automation-plan/evidence/PC-003_navigation.jpg</x:v>
      </x:c>
    </x:row>
    <x:row r="8" ht="150" customHeight="1">
      <x:c r="A8" s="25" t="str">
        <x:v>PC-004</x:v>
      </x:c>
      <x:c r="B8" s="22" t="str">
        <x:v>Danh sách linh kiện</x:v>
      </x:c>
      <x:c r="C8" s="22" t="str">
        <x:v>Mở danh sách lựa chọn CPU</x:v>
      </x:c>
      <x:c r="D8" s="22" t="str">
        <x:v>Trang Build PC tải thành công.</x:v>
      </x:c>
      <x:c r="E8" s="22" t="str">
        <x:v>1. Tìm nhóm CPU/Bộ vi xử lý.
2. Nhấn nút chọn sản phẩm.
3. Chờ danh sách tải.
4. Xem tên, giá và thao tác chọn.</x:v>
      </x:c>
      <x:c r="F8" s="22" t="str">
        <x:v>Nhóm: CPU</x:v>
      </x:c>
      <x:c r="G8" s="22" t="str">
        <x:v>Danh sách/popup sản phẩm thuộc nhóm CPU được mở; sản phẩm liên quan được hiển thị kèm thông tin cần thiết.</x:v>
      </x:c>
      <x:c r="H8" s="22" t="str">
        <x:v>Popup CPU hiện tên, giá bán và nút Chọn; có Intel và AMD.</x:v>
      </x:c>
      <x:c r="I8" s="22" t="str">
        <x:v>Pass</x:v>
      </x:c>
      <x:c r="J8" s="22" t="str">
        <x:v>Critical</x:v>
      </x:c>
      <x:c r="K8" s="22" t="str">
        <x:v>Functional</x:v>
      </x:c>
      <x:c r="L8" s="22" t="str">
        <x:v>Yes</x:v>
      </x:c>
      <x:c r="M8" s="22" t="str">
        <x:v>Thực thi 23/10/2026, IAB desktop/macOS, Hồ Chí Minh. Bằng chứng: automation-plan/evidence/PC-004_cpu.jpg</x:v>
      </x:c>
    </x:row>
    <x:row r="9" ht="150" customHeight="1">
      <x:c r="A9" s="25" t="str">
        <x:v>PC-005</x:v>
      </x:c>
      <x:c r="B9" s="22" t="str">
        <x:v>Danh sách linh kiện</x:v>
      </x:c>
      <x:c r="C9" s="22" t="str">
        <x:v>Đóng danh sách linh kiện không chọn</x:v>
      </x:c>
      <x:c r="D9" s="22" t="str">
        <x:v>Danh sách CPU đang mở; chưa chọn sản phẩm.</x:v>
      </x:c>
      <x:c r="E9" s="22" t="str">
        <x:v>1. Nhấn đóng (X/Đóng/ngoài hộp thoại nếu được hỗ trợ).
2. Quay lại cấu hình.
3. Kiểm tra trạng thái CPU.</x:v>
      </x:c>
      <x:c r="F9" s="22" t="str">
        <x:v>Không chọn sản phẩm</x:v>
      </x:c>
      <x:c r="G9" s="22" t="str">
        <x:v>Danh sách đóng; CPU vẫn chưa được chọn; tổng tiền và cấu hình không bị thay đổi.</x:v>
      </x:c>
      <x:c r="H9" s="22" t="str">
        <x:v>Trang Build PC tải thành công. Đóng popup CPU không chọn sản phẩm: 14 nhóm vẫn Chọn, hiển thị Bạn chưa chọn cấu hình nào, không có tổng tiền cũ.</x:v>
      </x:c>
      <x:c r="I9" s="22" t="str">
        <x:v>Pass</x:v>
      </x:c>
      <x:c r="J9" s="22" t="str">
        <x:v>High</x:v>
      </x:c>
      <x:c r="K9" s="22" t="str">
        <x:v>Negative</x:v>
      </x:c>
      <x:c r="L9" s="22" t="str">
        <x:v>Yes</x:v>
      </x:c>
      <x:c r="M9" s="22" t="str">
        <x:v>Thực thi 23/10/2026, IAB desktop/macOS, Hồ Chí Minh. Bằng chứng: automation-plan/evidence/PC-001_002_005_023_empty.jpg</x:v>
      </x:c>
    </x:row>
    <x:row r="10" ht="150" customHeight="1">
      <x:c r="A10" s="25" t="str">
        <x:v>PC-006</x:v>
      </x:c>
      <x:c r="B10" s="22" t="str">
        <x:v>Chọn linh kiện</x:v>
      </x:c>
      <x:c r="C10" s="22" t="str">
        <x:v>Chọn một CPU hợp lệ</x:v>
      </x:c>
      <x:c r="D10" s="22" t="str">
        <x:v>Danh sách CPU có ít nhất một sản phẩm còn hàng.</x:v>
      </x:c>
      <x:c r="E10" s="22" t="str">
        <x:v>1. Mở nhóm CPU.
2. Chọn SP_CPU_A đang còn bán.
3. Xác nhận đóng popup nếu cần.
4. Quan sát dòng CPU và giá.</x:v>
      </x:c>
      <x:c r="F10" s="22" t="str">
        <x:v>SP_CPU_A: CPU còn hàng, giá P_CPU_A</x:v>
      </x:c>
      <x:c r="G10" s="22" t="str">
        <x:v>CPU được đưa vào đúng nhóm; tên/giá hiển thị khớp sản phẩm vừa chọn; không thêm sang nhóm khác.</x:v>
      </x:c>
      <x:c r="H10" s="22" t="str">
        <x:v>Chọn CPU Intel Core i5 12400F giá 4.290.000đ; dòng CPU và tạm tính đều 4.290.000đ, số lượng 1.</x:v>
      </x:c>
      <x:c r="I10" s="22" t="str">
        <x:v>Pass</x:v>
      </x:c>
      <x:c r="J10" s="22" t="str">
        <x:v>Critical</x:v>
      </x:c>
      <x:c r="K10" s="22" t="str">
        <x:v>Equivalence partition</x:v>
      </x:c>
      <x:c r="L10" s="22" t="str">
        <x:v>Yes</x:v>
      </x:c>
      <x:c r="M10" s="22" t="str">
        <x:v>Thực thi 23/10/2026, IAB desktop/macOS, Hồ Chí Minh. Bằng chứng: automation-plan/evidence/PC-006_019_cpu.jpg</x:v>
      </x:c>
    </x:row>
    <x:row r="11" ht="150" customHeight="1">
      <x:c r="A11" s="25" t="str">
        <x:v>PC-007</x:v>
      </x:c>
      <x:c r="B11" s="22" t="str">
        <x:v>Chọn linh kiện</x:v>
      </x:c>
      <x:c r="C11" s="22" t="str">
        <x:v>Chọn mainboard hợp lệ</x:v>
      </x:c>
      <x:c r="D11" s="22" t="str">
        <x:v>Đã chọn CPU; có mainboard có thể lựa chọn.</x:v>
      </x:c>
      <x:c r="E11" s="22" t="str">
        <x:v>1. Mở nhóm Mainboard.
2. Chọn SP_MAIN_A.
3. Quay lại cấu hình.
4. Kiểm tra vị trí và sản phẩm.</x:v>
      </x:c>
      <x:c r="F11" s="22" t="str">
        <x:v>SP_MAIN_A: Mainboard hợp lệ</x:v>
      </x:c>
      <x:c r="G11" s="22" t="str">
        <x:v>Mainboard được hiển thị trong nhóm đúng; CPU đã chọn không bị mất ngoài ý muốn.</x:v>
      </x:c>
      <x:c r="H11" s="22" t="str">
        <x:v>Mainboard Asus TUF Gaming B760M-PLUS Wifi D4 giá 3.750.000đ được thêm, CPU giữ nguyên; tạm tính 8.040.000đ.</x:v>
      </x:c>
      <x:c r="I11" s="22" t="str">
        <x:v>Pass</x:v>
      </x:c>
      <x:c r="J11" s="22" t="str">
        <x:v>High</x:v>
      </x:c>
      <x:c r="K11" s="22" t="str">
        <x:v>Functional</x:v>
      </x:c>
      <x:c r="L11" s="22" t="str">
        <x:v>Yes</x:v>
      </x:c>
      <x:c r="M11" s="22" t="str">
        <x:v>Thực thi 23/10/2026, IAB desktop/macOS, Hồ Chí Minh. Bằng chứng: automation-plan/evidence/PC-007_main.jpg</x:v>
      </x:c>
    </x:row>
    <x:row r="12" ht="150" customHeight="1">
      <x:c r="A12" s="25" t="str">
        <x:v>PC-008</x:v>
      </x:c>
      <x:c r="B12" s="22" t="str">
        <x:v>Chọn linh kiện</x:v>
      </x:c>
      <x:c r="C12" s="22" t="str">
        <x:v>Chọn RAM hợp lệ</x:v>
      </x:c>
      <x:c r="D12" s="22" t="str">
        <x:v>Đã chọn CPU và Mainboard; có RAM còn hàng.</x:v>
      </x:c>
      <x:c r="E12" s="22" t="str">
        <x:v>1. Mở nhóm RAM.
2. Chọn SP_RAM_A.
3. Trở lại trang cấu hình.
4. Quan sát RAM đã chọn.</x:v>
      </x:c>
      <x:c r="F12" s="22" t="str">
        <x:v>SP_RAM_A: RAM còn hàng</x:v>
      </x:c>
      <x:c r="G12" s="22" t="str">
        <x:v>RAM được thêm đúng vị trí; cấu hình cũ không bị xóa; tên và giá RAM trùng danh sách.</x:v>
      </x:c>
      <x:c r="H12" s="22" t="str">
        <x:v>RAM ADATA XPG D50 16GB DDR4 giá 4.290.000đ được thêm đúng nhóm; CPU và mainboard giữ nguyên; tạm tính 12.330.000đ.</x:v>
      </x:c>
      <x:c r="I12" s="22" t="str">
        <x:v>Pass</x:v>
      </x:c>
      <x:c r="J12" s="22" t="str">
        <x:v>High</x:v>
      </x:c>
      <x:c r="K12" s="22" t="str">
        <x:v>Functional</x:v>
      </x:c>
      <x:c r="L12" s="22" t="str">
        <x:v>Yes</x:v>
      </x:c>
      <x:c r="M12" s="22" t="str">
        <x:v>Thực thi 23/10/2026, IAB desktop/macOS, Hồ Chí Minh. Bằng chứng: automation-plan/evidence/PC-008_ram.jpg</x:v>
      </x:c>
    </x:row>
    <x:row r="13" ht="150" customHeight="1">
      <x:c r="A13" s="25" t="str">
        <x:v>PC-009</x:v>
      </x:c>
      <x:c r="B13" s="22" t="str">
        <x:v>Chọn linh kiện</x:v>
      </x:c>
      <x:c r="C13" s="22" t="str">
        <x:v>Chọn ổ cứng SSD/HDD</x:v>
      </x:c>
      <x:c r="D13" s="22" t="str">
        <x:v>Trang có nhóm lưu trữ và sản phẩm còn hàng.</x:v>
      </x:c>
      <x:c r="E13" s="22" t="str">
        <x:v>1. Mở nhóm Ổ cứng/Lưu trữ.
2. Chọn SP_SSD_A.
3. Trở lại cấu hình.
4. Kiểm tra tên/giá ổ cứng.</x:v>
      </x:c>
      <x:c r="F13" s="22" t="str">
        <x:v>SP_SSD_A: ổ lưu trữ hợp lệ</x:v>
      </x:c>
      <x:c r="G13" s="22" t="str">
        <x:v>Ổ cứng đã chọn xuất hiện đúng nhóm, không trùng nhóm khác; giá được ghi nhận.</x:v>
      </x:c>
      <x:c r="H13" s="22" t="str">
        <x:v>SSD Kingston NV3 1TB giá 4.490.000đ được thêm đúng nhóm; CPU/main/RAM giữ nguyên; tạm tính 16.820.000đ.</x:v>
      </x:c>
      <x:c r="I13" s="22" t="str">
        <x:v>Pass</x:v>
      </x:c>
      <x:c r="J13" s="22" t="str">
        <x:v>High</x:v>
      </x:c>
      <x:c r="K13" s="22" t="str">
        <x:v>Functional</x:v>
      </x:c>
      <x:c r="L13" s="22" t="str">
        <x:v>Yes</x:v>
      </x:c>
      <x:c r="M13" s="22" t="str">
        <x:v>Thực thi 23/10/2026, IAB desktop/macOS, Hồ Chí Minh. Bằng chứng: automation-plan/evidence/PC-009_ssd.jpg</x:v>
      </x:c>
    </x:row>
    <x:row r="14" ht="150" customHeight="1">
      <x:c r="A14" s="25" t="str">
        <x:v>PC-010</x:v>
      </x:c>
      <x:c r="B14" s="22" t="str">
        <x:v>Chọn linh kiện</x:v>
      </x:c>
      <x:c r="C14" s="22" t="str">
        <x:v>Chọn card đồ họa</x:v>
      </x:c>
      <x:c r="D14" s="22" t="str">
        <x:v>Trang có nhóm card đồ họa; sản phẩm còn hàng.</x:v>
      </x:c>
      <x:c r="E14" s="22" t="str">
        <x:v>1. Mở nhóm VGA/Card màn hình.
2. Chọn SP_GPU_A.
3. Đóng danh sách.
4. Kiểm tra thông tin đã chọn.</x:v>
      </x:c>
      <x:c r="F14" s="22" t="str">
        <x:v>SP_GPU_A: VGA còn hàng</x:v>
      </x:c>
      <x:c r="G14" s="22" t="str">
        <x:v>VGA xuất hiện ở nhóm đúng; giữ nguyên linh kiện trước đó; giá VGA được tính vào cấu hình.</x:v>
      </x:c>
      <x:c r="H14" s="22" t="str">
        <x:v>VGA Gigabyte RX 6500 XT Eagle 4GB giá 4.990.000đ được thêm, các nhóm giữ nguyên; tạm tính 21.810.000đ.</x:v>
      </x:c>
      <x:c r="I14" s="22" t="str">
        <x:v>Pass</x:v>
      </x:c>
      <x:c r="J14" s="22" t="str">
        <x:v>High</x:v>
      </x:c>
      <x:c r="K14" s="22" t="str">
        <x:v>Functional</x:v>
      </x:c>
      <x:c r="L14" s="22" t="str">
        <x:v>Yes</x:v>
      </x:c>
      <x:c r="M14" s="22" t="str">
        <x:v>Thực thi 23/10/2026, IAB desktop/macOS, Hồ Chí Minh. Bằng chứng: automation-plan/evidence/PC-010_gpu.jpg</x:v>
      </x:c>
    </x:row>
    <x:row r="15" ht="150" customHeight="1">
      <x:c r="A15" s="25" t="str">
        <x:v>PC-011</x:v>
      </x:c>
      <x:c r="B15" s="22" t="str">
        <x:v>Chọn linh kiện</x:v>
      </x:c>
      <x:c r="C15" s="22" t="str">
        <x:v>Chọn nguồn máy tính</x:v>
      </x:c>
      <x:c r="D15" s="22" t="str">
        <x:v>Trang có nhóm PSU và sản phẩm còn hàng.</x:v>
      </x:c>
      <x:c r="E15" s="22" t="str">
        <x:v>1. Mở nhóm Nguồn/PSU.
2. Chọn SP_PSU_A.
3. Quay lại cấu hình.
4. Kiểm tra dòng nguồn.</x:v>
      </x:c>
      <x:c r="F15" s="22" t="str">
        <x:v>SP_PSU_A: PSU còn hàng</x:v>
      </x:c>
      <x:c r="G15" s="22" t="str">
        <x:v>PSU được chọn và hiển thị chính xác; tổng giá nhận phần giá của PSU.</x:v>
      </x:c>
      <x:c r="H15" s="22" t="str">
        <x:v>PSU Corsair CX650 1.450.000đ được chọn. CPU/main/VGA/RAM/SSD/PSU hiển thị đủ, không ghi đè chéo; tạm tính 23.260.000đ.</x:v>
      </x:c>
      <x:c r="I15" s="22" t="str">
        <x:v>Pass</x:v>
      </x:c>
      <x:c r="J15" s="22" t="str">
        <x:v>High</x:v>
      </x:c>
      <x:c r="K15" s="22" t="str">
        <x:v>Functional</x:v>
      </x:c>
      <x:c r="L15" s="22" t="str">
        <x:v>Yes</x:v>
      </x:c>
      <x:c r="M15" s="22" t="str">
        <x:v>Thực thi 23/10/2026, IAB desktop/macOS, Hồ Chí Minh. Bằng chứng: automation-plan/evidence/PC-011_014_psu.jpg</x:v>
      </x:c>
    </x:row>
    <x:row r="16" ht="150" customHeight="1">
      <x:c r="A16" s="25" t="str">
        <x:v>PC-012</x:v>
      </x:c>
      <x:c r="B16" s="22" t="str">
        <x:v>Chọn linh kiện</x:v>
      </x:c>
      <x:c r="C16" s="22" t="str">
        <x:v>Chọn vỏ case máy tính</x:v>
      </x:c>
      <x:c r="D16" s="22" t="str">
        <x:v>Trang có nhóm Case và sản phẩm còn hàng.</x:v>
      </x:c>
      <x:c r="E16" s="22" t="str">
        <x:v>1. Mở nhóm Case/Vỏ máy.
2. Chọn SP_CASE_A.
3. Trở lại trang.
4. Quan sát dòng Case.</x:v>
      </x:c>
      <x:c r="F16" s="22" t="str">
        <x:v>SP_CASE_A: case còn hàng</x:v>
      </x:c>
      <x:c r="G16" s="22" t="str">
        <x:v>Case xuất hiện ở đúng danh mục; tên và giá khớp; các sản phẩm khác giữ nguyên.</x:v>
      </x:c>
      <x:c r="H16" s="22" t="str">
        <x:v>Case Jetek EN16 ATX giá 250.000đ thêm đúng nhóm; tạm tính 23.510.000đ, các nhóm khác còn nguyên.</x:v>
      </x:c>
      <x:c r="I16" s="22" t="str">
        <x:v>Pass</x:v>
      </x:c>
      <x:c r="J16" s="22" t="str">
        <x:v>Medium</x:v>
      </x:c>
      <x:c r="K16" s="22" t="str">
        <x:v>Functional</x:v>
      </x:c>
      <x:c r="L16" s="22" t="str">
        <x:v>Yes</x:v>
      </x:c>
      <x:c r="M16" s="22" t="str">
        <x:v>Thực thi 23/10/2026, IAB desktop/macOS, Hồ Chí Minh. Bằng chứng: automation-plan/evidence/PC-012_case.jpg</x:v>
      </x:c>
    </x:row>
    <x:row r="17" ht="150" customHeight="1">
      <x:c r="A17" s="25" t="str">
        <x:v>PC-013</x:v>
      </x:c>
      <x:c r="B17" s="22" t="str">
        <x:v>Chọn linh kiện</x:v>
      </x:c>
      <x:c r="C17" s="22" t="str">
        <x:v>Chọn tản nhiệt CPU</x:v>
      </x:c>
      <x:c r="D17" s="22" t="str">
        <x:v>Trang có nhóm tản nhiệt và ít nhất một sản phẩm.</x:v>
      </x:c>
      <x:c r="E17" s="22" t="str">
        <x:v>1. Mở nhóm Tản nhiệt.
2. Chọn SP_COOL_A.
3. Quay lại cấu hình.
4. Kiểm tra thông tin tản nhiệt.</x:v>
      </x:c>
      <x:c r="F17" s="22" t="str">
        <x:v>SP_COOL_A: tản nhiệt còn hàng</x:v>
      </x:c>
      <x:c r="G17" s="22" t="str">
        <x:v>Tản nhiệt xuất hiện đúng nhóm và được tính giá đúng; các nhóm khác không đổi.</x:v>
      </x:c>
      <x:c r="H17" s="22" t="str">
        <x:v>Tản nhiệt Xigmatek EPIX II 400.000đ được thêm đúng nhóm; 8 nhóm giữ nguyên; tạm tính 23.910.000đ.</x:v>
      </x:c>
      <x:c r="I17" s="22" t="str">
        <x:v>Pass</x:v>
      </x:c>
      <x:c r="J17" s="22" t="str">
        <x:v>Medium</x:v>
      </x:c>
      <x:c r="K17" s="22" t="str">
        <x:v>Functional</x:v>
      </x:c>
      <x:c r="L17" s="22" t="str">
        <x:v>Yes</x:v>
      </x:c>
      <x:c r="M17" s="22" t="str">
        <x:v>Thực thi 23/10/2026, IAB desktop/macOS, Hồ Chí Minh. Bằng chứng: automation-plan/evidence/PC-013_cooler.jpg</x:v>
      </x:c>
    </x:row>
    <x:row r="18" ht="150" customHeight="1">
      <x:c r="A18" s="25" t="str">
        <x:v>PC-014</x:v>
      </x:c>
      <x:c r="B18" s="22" t="str">
        <x:v>Chọn linh kiện</x:v>
      </x:c>
      <x:c r="C18" s="22" t="str">
        <x:v>Chọn thêm linh kiện ở nhiều danh mục</x:v>
      </x:c>
      <x:c r="D18" s="22" t="str">
        <x:v>Các nhóm CPU, RAM, SSD, PSU có sản phẩm hợp lệ.</x:v>
      </x:c>
      <x:c r="E18" s="22" t="str">
        <x:v>1. Chọn CPU.
2. Chọn RAM.
3. Chọn SSD.
4. Chọn PSU.
5. Kiểm tra tất cả các dòng.</x:v>
      </x:c>
      <x:c r="F18" s="22" t="str">
        <x:v>SP_CPU_A; SP_RAM_A; SP_SSD_A; SP_PSU_A</x:v>
      </x:c>
      <x:c r="G18" s="22" t="str">
        <x:v>Mỗi linh kiện ở đúng nhóm; không có sự ghi đè chéo; cấu hình hiển thị đầy đủ 4 nhóm đã chọn.</x:v>
      </x:c>
      <x:c r="H18" s="22" t="str">
        <x:v>PSU Corsair CX650 1.450.000đ được chọn. CPU/main/VGA/RAM/SSD/PSU hiển thị đủ, không ghi đè chéo; tạm tính 23.260.000đ.</x:v>
      </x:c>
      <x:c r="I18" s="22" t="str">
        <x:v>Pass</x:v>
      </x:c>
      <x:c r="J18" s="22" t="str">
        <x:v>Critical</x:v>
      </x:c>
      <x:c r="K18" s="22" t="str">
        <x:v>Integration</x:v>
      </x:c>
      <x:c r="L18" s="22" t="str">
        <x:v>Yes</x:v>
      </x:c>
      <x:c r="M18" s="22" t="str">
        <x:v>Thực thi 23/10/2026, IAB desktop/macOS, Hồ Chí Minh. Bằng chứng: automation-plan/evidence/PC-011_014_psu.jpg</x:v>
      </x:c>
    </x:row>
    <x:row r="19" ht="150" customHeight="1">
      <x:c r="A19" s="25" t="str">
        <x:v>PC-015</x:v>
      </x:c>
      <x:c r="B19" s="22" t="str">
        <x:v>Quản lý cấu hình</x:v>
      </x:c>
      <x:c r="C19" s="22" t="str">
        <x:v>Thay CPU đã chọn bằng CPU khác</x:v>
      </x:c>
      <x:c r="D19" s="22" t="str">
        <x:v>Đã có SP_CPU_A; SP_CPU_B là CPU còn hàng.</x:v>
      </x:c>
      <x:c r="E19" s="22" t="str">
        <x:v>1. Mở thao tác thay đổi CPU.
2. Chọn SP_CPU_B.
3. Trở lại cấu hình.
4. Kiểm tra CPU và giá tổng.</x:v>
      </x:c>
      <x:c r="F19" s="22" t="str">
        <x:v>CPU A -&gt; CPU B</x:v>
      </x:c>
      <x:c r="G19" s="22" t="str">
        <x:v>Nhóm CPU hiển thị B thay A (trừ trường hợp giao diện hỗ trợ nhiều CPU có quy tắc rõ); không giữ sai CPU A; tổng giá tính lại.</x:v>
      </x:c>
      <x:c r="H19" s="22" t="str">
        <x:v>Thay CPU i5 12400F 4.290.000đ bằng i5-12400F TRAY 3.990.000đ. Chỉ còn CPU mới, 7 nhóm khác giữ nguyên; tạm tính 23.910.000 - 4.290.000 + 3.990.000 = 23.610.000đ.</x:v>
      </x:c>
      <x:c r="I19" s="22" t="str">
        <x:v>Pass</x:v>
      </x:c>
      <x:c r="J19" s="22" t="str">
        <x:v>Critical</x:v>
      </x:c>
      <x:c r="K19" s="22" t="str">
        <x:v>State transition</x:v>
      </x:c>
      <x:c r="L19" s="22" t="str">
        <x:v>Yes</x:v>
      </x:c>
      <x:c r="M19" s="22" t="str">
        <x:v>Thực thi 23/10/2026, IAB desktop/macOS, Hồ Chí Minh. Bằng chứng: automation-plan/evidence/PC-015_021_replace_cpu.jpg</x:v>
      </x:c>
    </x:row>
    <x:row r="20" ht="150" customHeight="1">
      <x:c r="A20" s="25" t="str">
        <x:v>PC-016</x:v>
      </x:c>
      <x:c r="B20" s="22" t="str">
        <x:v>Quản lý cấu hình</x:v>
      </x:c>
      <x:c r="C20" s="22" t="str">
        <x:v>Thay RAM mà không ảnh hưởng SSD</x:v>
      </x:c>
      <x:c r="D20" s="22" t="str">
        <x:v>Đã chọn SP_RAM_A và SP_SSD_A; có SP_RAM_B.</x:v>
      </x:c>
      <x:c r="E20" s="22" t="str">
        <x:v>1. Mở thao tác thay RAM.
2. Chọn SP_RAM_B.
3. Quan sát RAM và ổ cứng.
4. Kiểm tra tổng tiền.</x:v>
      </x:c>
      <x:c r="F20" s="22" t="str">
        <x:v>RAM A -&gt; RAM B; SSD A giữ nguyên</x:v>
      </x:c>
      <x:c r="G20" s="22" t="str">
        <x:v>RAM được cập nhật theo lựa chọn mới; SSD A không thay đổi; tổng tiền cập nhật theo chênh lệch giá RAM.</x:v>
      </x:c>
      <x:c r="H20" s="22" t="str">
        <x:v>Thay RAM ADATA 4.290.000đ bằng Kingston Fury Beast DDR4 16GB 3.990.000đ; SSD NV3 1TB còn nguyên; tổng 23.310.000đ.</x:v>
      </x:c>
      <x:c r="I20" s="22" t="str">
        <x:v>Pass</x:v>
      </x:c>
      <x:c r="J20" s="22" t="str">
        <x:v>High</x:v>
      </x:c>
      <x:c r="K20" s="22" t="str">
        <x:v>Regression</x:v>
      </x:c>
      <x:c r="L20" s="22" t="str">
        <x:v>Yes</x:v>
      </x:c>
      <x:c r="M20" s="22" t="str">
        <x:v>Thực thi 23/10/2026, IAB desktop/macOS, Hồ Chí Minh. Bằng chứng: automation-plan/evidence/PC-016_replace_ram.jpg</x:v>
      </x:c>
    </x:row>
    <x:row r="21" ht="150" customHeight="1">
      <x:c r="A21" s="25" t="str">
        <x:v>PC-017</x:v>
      </x:c>
      <x:c r="B21" s="22" t="str">
        <x:v>Quản lý cấu hình</x:v>
      </x:c>
      <x:c r="C21" s="22" t="str">
        <x:v>Xóa một linh kiện đang chọn</x:v>
      </x:c>
      <x:c r="D21" s="22" t="str">
        <x:v>Đã chọn CPU A và RAM A; giao diện có hành động xóa linh kiện.</x:v>
      </x:c>
      <x:c r="E21" s="22" t="str">
        <x:v>1. Tìm hành động xóa ở dòng RAM.
2. Xóa RAM.
3. Quan sát dòng RAM và CPU.
4. Kiểm tra giá.</x:v>
      </x:c>
      <x:c r="F21" s="22" t="str">
        <x:v>Xóa SP_RAM_A</x:v>
      </x:c>
      <x:c r="G21" s="22" t="str">
        <x:v>RAM trở về trạng thái chưa chọn; CPU còn nguyên; tổng tiền giảm đúng phần tiền RAM.</x:v>
      </x:c>
      <x:c r="H21" s="22" t="str">
        <x:v>Xóa RAM Kingston 3.990.000đ và xác nhận Có; RAM trở lại Chọn, CPU và SSD giữ nguyên. Tổng 23.310.000 - 3.990.000 = 19.320.000đ.</x:v>
      </x:c>
      <x:c r="I21" s="22" t="str">
        <x:v>Pass</x:v>
      </x:c>
      <x:c r="J21" s="22" t="str">
        <x:v>Critical</x:v>
      </x:c>
      <x:c r="K21" s="22" t="str">
        <x:v>State transition</x:v>
      </x:c>
      <x:c r="L21" s="22" t="str">
        <x:v>Yes</x:v>
      </x:c>
      <x:c r="M21" s="22" t="str">
        <x:v>Nếu UI không hỗ trợ xóa từng dòng, ghi N/A và nêu giới hạn.
Thực thi 23/10/2026, IAB desktop/macOS, Hồ Chí Minh. Bằng chứng: automation-plan/evidence/PC-017_022_delete_ram.jpg</x:v>
      </x:c>
    </x:row>
    <x:row r="22" ht="150" customHeight="1">
      <x:c r="A22" s="25" t="str">
        <x:v>PC-018</x:v>
      </x:c>
      <x:c r="B22" s="22" t="str">
        <x:v>Quản lý cấu hình</x:v>
      </x:c>
      <x:c r="C22" s="22" t="str">
        <x:v>Reset/xóa toàn bộ cấu hình</x:v>
      </x:c>
      <x:c r="D22" s="22" t="str">
        <x:v>Đã chọn ít nhất 3 linh kiện; UI có chức năng làm mới/xóa tất cả.</x:v>
      </x:c>
      <x:c r="E22" s="22" t="str">
        <x:v>1. Tạo cấu hình 3 linh kiện.
2. Chọn Làm mới/Xóa tất cả.
3. Xác nhận nếu có hộp thoại.
4. Kiểm tra cấu hình sau reset.</x:v>
      </x:c>
      <x:c r="F22" s="22" t="str">
        <x:v>CPU A + RAM A + SSD A; Reset</x:v>
      </x:c>
      <x:c r="G22" s="22" t="str">
        <x:v>Toàn bộ linh kiện bị xóa sau xác nhận; trạng thái quay về rỗng; tổng giá về 0; không sót dữ liệu cũ.</x:v>
      </x:c>
      <x:c r="H22" s="22" t="str">
        <x:v>Chọn lại từ đầu trên cấu hình 7 linh kiện, xác nhận ở modal; tất cả nhóm trở lại Chọn, Bạn chưa chọn cấu hình nào và không còn tạm tính cũ.</x:v>
      </x:c>
      <x:c r="I22" s="22" t="str">
        <x:v>Pass</x:v>
      </x:c>
      <x:c r="J22" s="22" t="str">
        <x:v>High</x:v>
      </x:c>
      <x:c r="K22" s="22" t="str">
        <x:v>State transition</x:v>
      </x:c>
      <x:c r="L22" s="22" t="str">
        <x:v>Maybe</x:v>
      </x:c>
      <x:c r="M22" s="22" t="str">
        <x:v>Chỉ thực thi khi có nút reset toàn bộ.
Thực thi 23/10/2026, IAB desktop/macOS, Hồ Chí Minh. Bằng chứng: automation-plan/evidence/PC-018_reset.jpg</x:v>
      </x:c>
    </x:row>
    <x:row r="23" ht="150" customHeight="1">
      <x:c r="A23" s="25" t="str">
        <x:v>PC-019</x:v>
      </x:c>
      <x:c r="B23" s="22" t="str">
        <x:v>Giá &amp; thống kê</x:v>
      </x:c>
      <x:c r="C23" s="22" t="str">
        <x:v>Giá tổng khi chọn một linh kiện</x:v>
      </x:c>
      <x:c r="D23" s="22" t="str">
        <x:v>Cấu hình rỗng; sản phẩm CPU A có giá công bố P_CPU_A.</x:v>
      </x:c>
      <x:c r="E23" s="22" t="str">
        <x:v>1. Ghi lại giá CPU A trên danh sách.
2. Chọn CPU A.
3. Quan sát tổng tiền.
4. Đối chiếu.</x:v>
      </x:c>
      <x:c r="F23" s="22" t="str">
        <x:v>1 CPU; giá P_CPU_A</x:v>
      </x:c>
      <x:c r="G23" s="22" t="str">
        <x:v>Giá tạm tính bằng giá CPU được hệ thống áp dụng tại thời điểm test; định dạng VND nhất quán.</x:v>
      </x:c>
      <x:c r="H23" s="22" t="str">
        <x:v>Chọn CPU Intel Core i5 12400F giá 4.290.000đ; dòng CPU và tạm tính đều 4.290.000đ, số lượng 1.</x:v>
      </x:c>
      <x:c r="I23" s="22" t="str">
        <x:v>Pass</x:v>
      </x:c>
      <x:c r="J23" s="22" t="str">
        <x:v>Critical</x:v>
      </x:c>
      <x:c r="K23" s="22" t="str">
        <x:v>Calculation</x:v>
      </x:c>
      <x:c r="L23" s="22" t="str">
        <x:v>Yes</x:v>
      </x:c>
      <x:c r="M23" s="22" t="str">
        <x:v>Thực thi 23/10/2026, IAB desktop/macOS, Hồ Chí Minh. Bằng chứng: automation-plan/evidence/PC-006_019_cpu.jpg</x:v>
      </x:c>
    </x:row>
    <x:row r="24" ht="150" customHeight="1">
      <x:c r="A24" s="25" t="str">
        <x:v>PC-020</x:v>
      </x:c>
      <x:c r="B24" s="22" t="str">
        <x:v>Giá &amp; thống kê</x:v>
      </x:c>
      <x:c r="C24" s="22" t="str">
        <x:v>Tổng giá của nhiều linh kiện</x:v>
      </x:c>
      <x:c r="D24" s="22" t="str">
        <x:v>Cấu hình rỗng; có 3 sản phẩm còn hàng với giá đã ghi nhận.</x:v>
      </x:c>
      <x:c r="E24" s="22" t="str">
        <x:v>1. Ghi giá CPU, RAM, SSD.
2. Chọn lần lượt ba sản phẩm.
3. Đọc tổng tiền.
4. Cộng đối chiếu.</x:v>
      </x:c>
      <x:c r="F24" s="22" t="str">
        <x:v>P_CPU_A + P_RAM_A + P_SSD_A</x:v>
      </x:c>
      <x:c r="G24" s="22" t="str">
        <x:v>Tổng tiền bằng tổng giá dòng của ba linh kiện cộng/trừ các điều chỉnh hiển thị hợp lệ, không cộng thiếu/nhân đôi.</x:v>
      </x:c>
      <x:c r="H24" s="22" t="str">
        <x:v>Cấu hình chỉ CPU i5 12400F 4.290.000 + RAM ADATA 4.290.000 + SSD NV3 1TB 4.490.000 = tạm tính 13.070.000đ, mỗi nhóm số lượng 1.</x:v>
      </x:c>
      <x:c r="I24" s="22" t="str">
        <x:v>Pass</x:v>
      </x:c>
      <x:c r="J24" s="22" t="str">
        <x:v>Critical</x:v>
      </x:c>
      <x:c r="K24" s="22" t="str">
        <x:v>Calculation</x:v>
      </x:c>
      <x:c r="L24" s="22" t="str">
        <x:v>Yes</x:v>
      </x:c>
      <x:c r="M24" s="22" t="str">
        <x:v>Thực thi 23/10/2026, IAB desktop/macOS, Hồ Chí Minh. Bằng chứng: automation-plan/evidence/PC-020_total_three.jpg</x:v>
      </x:c>
    </x:row>
    <x:row r="25" ht="150" customHeight="1">
      <x:c r="A25" s="25" t="str">
        <x:v>PC-021</x:v>
      </x:c>
      <x:c r="B25" s="22" t="str">
        <x:v>Giá &amp; thống kê</x:v>
      </x:c>
      <x:c r="C25" s="22" t="str">
        <x:v>Cập nhật tổng khi thay linh kiện</x:v>
      </x:c>
      <x:c r="D25" s="22" t="str">
        <x:v>Đã có CPU A và RAM A; biết giá CPU B.</x:v>
      </x:c>
      <x:c r="E25" s="22" t="str">
        <x:v>1. Ghi tổng cũ và giá CPU A.
2. Thay CPU A bằng CPU B.
3. Ghi tổng mới.
4. Đối chiếu.</x:v>
      </x:c>
      <x:c r="F25" s="22" t="str">
        <x:v>T_mới = T_cũ - P_CPU_A + P_CPU_B (sau ưu đãi nếu có)</x:v>
      </x:c>
      <x:c r="G25" s="22" t="str">
        <x:v>Tổng mới phản ánh đúng chênh lệch giá CPU và các điều chỉnh giá/ưu đãi được công bố; không giữ giá cũ.</x:v>
      </x:c>
      <x:c r="H25" s="22" t="str">
        <x:v>Thay CPU i5 12400F 4.290.000đ bằng i5-12400F TRAY 3.990.000đ. Chỉ còn CPU mới, 7 nhóm khác giữ nguyên; tạm tính 23.910.000 - 4.290.000 + 3.990.000 = 23.610.000đ.</x:v>
      </x:c>
      <x:c r="I25" s="22" t="str">
        <x:v>Pass</x:v>
      </x:c>
      <x:c r="J25" s="22" t="str">
        <x:v>Critical</x:v>
      </x:c>
      <x:c r="K25" s="22" t="str">
        <x:v>Calculation</x:v>
      </x:c>
      <x:c r="L25" s="22" t="str">
        <x:v>Yes</x:v>
      </x:c>
      <x:c r="M25" s="22" t="str">
        <x:v>Thực thi 23/10/2026, IAB desktop/macOS, Hồ Chí Minh. Bằng chứng: automation-plan/evidence/PC-015_021_replace_cpu.jpg</x:v>
      </x:c>
    </x:row>
    <x:row r="26" ht="150" customHeight="1">
      <x:c r="A26" s="25" t="str">
        <x:v>PC-022</x:v>
      </x:c>
      <x:c r="B26" s="22" t="str">
        <x:v>Giá &amp; thống kê</x:v>
      </x:c>
      <x:c r="C26" s="22" t="str">
        <x:v>Cập nhật tổng khi xóa linh kiện</x:v>
      </x:c>
      <x:c r="D26" s="22" t="str">
        <x:v>Có CPU A và RAM A; nút xóa từng dòng khả dụng.</x:v>
      </x:c>
      <x:c r="E26" s="22" t="str">
        <x:v>1. Ghi giá RAM A và tổng cũ.
2. Xóa RAM A.
3. Quan sát tổng mới.
4. Đối chiếu.</x:v>
      </x:c>
      <x:c r="F26" s="22" t="str">
        <x:v>T_mới = T_cũ - P_RAM_A (nếu không đổi ưu đãi)</x:v>
      </x:c>
      <x:c r="G26" s="22" t="str">
        <x:v>Tổng giá được tính lại theo sản phẩm còn lại và quy tắc ưu đãi tại thời điểm kiểm thử; không còn phí RAM đã xóa.</x:v>
      </x:c>
      <x:c r="H26" s="22" t="str">
        <x:v>Xóa RAM Kingston 3.990.000đ và xác nhận Có; RAM trở lại Chọn, CPU và SSD giữ nguyên. Tổng 23.310.000 - 3.990.000 = 19.320.000đ.</x:v>
      </x:c>
      <x:c r="I26" s="22" t="str">
        <x:v>Pass</x:v>
      </x:c>
      <x:c r="J26" s="22" t="str">
        <x:v>High</x:v>
      </x:c>
      <x:c r="K26" s="22" t="str">
        <x:v>Calculation</x:v>
      </x:c>
      <x:c r="L26" s="22" t="str">
        <x:v>Yes</x:v>
      </x:c>
      <x:c r="M26" s="22" t="str">
        <x:v>Thực thi 23/10/2026, IAB desktop/macOS, Hồ Chí Minh. Bằng chứng: automation-plan/evidence/PC-017_022_delete_ram.jpg</x:v>
      </x:c>
    </x:row>
    <x:row r="27" ht="150" customHeight="1">
      <x:c r="A27" s="25" t="str">
        <x:v>PC-023</x:v>
      </x:c>
      <x:c r="B27" s="22" t="str">
        <x:v>Giá &amp; thống kê</x:v>
      </x:c>
      <x:c r="C27" s="22" t="str">
        <x:v>Giá khi cấu hình rỗng</x:v>
      </x:c>
      <x:c r="D27" s="22" t="str">
        <x:v>Cấu hình sạch hoặc reset thành công.</x:v>
      </x:c>
      <x:c r="E27" s="22" t="str">
        <x:v>1. Đảm bảo không có linh kiện đã chọn.
2. Quan sát giá/tổng thanh toán.
3. Kiểm tra định dạng.</x:v>
      </x:c>
      <x:c r="F27" s="22" t="str">
        <x:v>0 linh kiện</x:v>
      </x:c>
      <x:c r="G27" s="22" t="str">
        <x:v>Tổng tiền rỗng/0đ theo quy tắc hiển thị của site; không xuất hiện giá âm, NaN hay tổng của cấu hình cũ.</x:v>
      </x:c>
      <x:c r="H27" s="22" t="str">
        <x:v>Trang Build PC tải thành công. Đóng popup CPU không chọn sản phẩm: 14 nhóm vẫn Chọn, hiển thị Bạn chưa chọn cấu hình nào, không có tổng tiền cũ.</x:v>
      </x:c>
      <x:c r="I27" s="22" t="str">
        <x:v>Pass</x:v>
      </x:c>
      <x:c r="J27" s="22" t="str">
        <x:v>High</x:v>
      </x:c>
      <x:c r="K27" s="22" t="str">
        <x:v>Boundary</x:v>
      </x:c>
      <x:c r="L27" s="22" t="str">
        <x:v>Yes</x:v>
      </x:c>
      <x:c r="M27" s="22" t="str">
        <x:v>Thực thi 23/10/2026, IAB desktop/macOS, Hồ Chí Minh. Bằng chứng: automation-plan/evidence/PC-001_002_005_023_empty.jpg</x:v>
      </x:c>
    </x:row>
    <x:row r="28" ht="150" customHeight="1">
      <x:c r="A28" s="25" t="str">
        <x:v>PC-024</x:v>
      </x:c>
      <x:c r="B28" s="22" t="str">
        <x:v>Danh sách linh kiện</x:v>
      </x:c>
      <x:c r="C28" s="22" t="str">
        <x:v>Hành vi với sản phẩm hết hàng</x:v>
      </x:c>
      <x:c r="D28" s="22" t="str">
        <x:v>Danh sách một danh mục có SP_HETHANG; nếu không có thì ghi N/A.</x:v>
      </x:c>
      <x:c r="E28" s="22" t="str">
        <x:v>1. Mở danh mục có mặt hàng hết hàng.
2. Quan sát trạng thái.
3. Thử thao tác chọn nếu cho phép.
4. Kiểm tra cấu hình.</x:v>
      </x:c>
      <x:c r="F28" s="22" t="str">
        <x:v>SP_HETHANG: hết hàng tại thời điểm test</x:v>
      </x:c>
      <x:c r="G28" s="22" t="str">
        <x:v>UI thể hiện rõ trạng thái; không xác nhận cấu hình mua được với hàng hết tồn mà không có thông báo/luồng xử lý phù hợp.</x:v>
      </x:c>
      <x:c r="H28" s="22" t="str">
        <x:v>Đã mở đủ 45 sản phẩm CPU tại Hồ Chí Minh, không thấy sản phẩm được đánh dấu hết hàng. Không có dữ liệu SP_HETHANG để thực hiện bước chọn; chưa xác minh hành vi hết tồn.</x:v>
      </x:c>
      <x:c r="I28" s="22" t="str">
        <x:v>Blocked</x:v>
      </x:c>
      <x:c r="J28" s="22" t="str">
        <x:v>Medium</x:v>
      </x:c>
      <x:c r="K28" s="22" t="str">
        <x:v>Negative</x:v>
      </x:c>
      <x:c r="L28" s="22" t="str">
        <x:v>Maybe</x:v>
      </x:c>
      <x:c r="M28" s="22" t="str">
        <x:v>Cần dữ liệu thực có hàng hết.
Thực thi 23/10/2026, IAB desktop/macOS, Hồ Chí Minh. Bằng chứng: automation-plan/evidence/PC-024_missing_stock_data.jpg</x:v>
      </x:c>
    </x:row>
    <x:row r="29" ht="150" customHeight="1">
      <x:c r="A29" s="25" t="str">
        <x:v>PC-025</x:v>
      </x:c>
      <x:c r="B29" s="22" t="str">
        <x:v>Danh sách linh kiện</x:v>
      </x:c>
      <x:c r="C29" s="22" t="str">
        <x:v>Tìm kiếm sản phẩm trong danh sách chọn</x:v>
      </x:c>
      <x:c r="D29" s="22" t="str">
        <x:v>Popup lựa chọn có ô tìm kiếm; nếu không có, ghi N/A.</x:v>
      </x:c>
      <x:c r="E29" s="22" t="str">
        <x:v>1. Mở danh sách CPU.
2. Nhập một phần tên CPU đang bán.
3. Chờ kết quả.
4. Kiểm tra nhóm/độ liên quan.</x:v>
      </x:c>
      <x:c r="F29" s="22" t="str">
        <x:v>Keyword từ tên SP_CPU_A</x:v>
      </x:c>
      <x:c r="G29" s="22" t="str">
        <x:v>Nếu có tìm kiếm: hiện sản phẩm khớp từ khóa trong nhóm CPU, không lẫn sản phẩm nhóm khác.</x:v>
      </x:c>
      <x:c r="H29" s="22" t="str">
        <x:v>Tìm 12400F trong popup CPU chỉ còn Intel i5 12400F và i5-12400F TRAY, đều thuộc nhóm CPU.</x:v>
      </x:c>
      <x:c r="I29" s="22" t="str">
        <x:v>Pass</x:v>
      </x:c>
      <x:c r="J29" s="22" t="str">
        <x:v>Medium</x:v>
      </x:c>
      <x:c r="K29" s="22" t="str">
        <x:v>Equivalence partition</x:v>
      </x:c>
      <x:c r="L29" s="22" t="str">
        <x:v>Maybe</x:v>
      </x:c>
      <x:c r="M29" s="22" t="str">
        <x:v>Kiểm tra UI có hỗ trợ ô tìm kiếm.
Thực thi 23/10/2026, IAB desktop/macOS, Hồ Chí Minh. Bằng chứng: automation-plan/evidence/PC-025_search.jpg</x:v>
      </x:c>
    </x:row>
    <x:row r="30" ht="150" customHeight="1">
      <x:c r="A30" s="25" t="str">
        <x:v>PC-026</x:v>
      </x:c>
      <x:c r="B30" s="22" t="str">
        <x:v>Danh sách linh kiện</x:v>
      </x:c>
      <x:c r="C30" s="22" t="str">
        <x:v>Tìm kiếm không có kết quả</x:v>
      </x:c>
      <x:c r="D30" s="22" t="str">
        <x:v>Popup có ô tìm kiếm; nếu không có, ghi N/A.</x:v>
      </x:c>
      <x:c r="E30" s="22" t="str">
        <x:v>1. Mở danh sách CPU.
2. Gõ từ khóa không tồn tại.
3. Quan sát danh sách.
4. Xóa từ khóa.</x:v>
      </x:c>
      <x:c r="F30" s="22" t="str">
        <x:v>zzx_no_product_987654</x:v>
      </x:c>
      <x:c r="G30" s="22" t="str">
        <x:v>Có trạng thái không kết quả rõ ràng, không phát sinh lỗi; xóa từ khóa có thể khôi phục danh sách.</x:v>
      </x:c>
      <x:c r="H30" s="22" t="str">
        <x:v>Tìm zzx_no_product_987654: Không tìm thấy sản phẩm, danh sách rỗng. Xóa từ khóa khôi phục danh sách CPU, tìm 12400F và chọn được CPU khác.</x:v>
      </x:c>
      <x:c r="I30" s="22" t="str">
        <x:v>Pass</x:v>
      </x:c>
      <x:c r="J30" s="22" t="str">
        <x:v>Medium</x:v>
      </x:c>
      <x:c r="K30" s="22" t="str">
        <x:v>Negative</x:v>
      </x:c>
      <x:c r="L30" s="22" t="str">
        <x:v>Maybe</x:v>
      </x:c>
      <x:c r="M30" s="22" t="str">
        <x:v>Kiểm tra UI có hỗ trợ ô tìm kiếm.
Thực thi 23/10/2026, IAB desktop/macOS, Hồ Chí Minh. Bằng chứng: automation-plan/evidence/PC-026_no_result.jpg</x:v>
      </x:c>
    </x:row>
    <x:row r="31" ht="150" customHeight="1">
      <x:c r="A31" s="25" t="str">
        <x:v>PC-027</x:v>
      </x:c>
      <x:c r="B31" s="22" t="str">
        <x:v>Lưu &amp; xuất cấu hình</x:v>
      </x:c>
      <x:c r="C31" s="22" t="str">
        <x:v>Lưu cấu hình đã chọn</x:v>
      </x:c>
      <x:c r="D31" s="22" t="str">
        <x:v>UI hiện tại có chức năng Lưu cấu hình; có cấu hình CPU+RAM+SSD.</x:v>
      </x:c>
      <x:c r="E31" s="22" t="str">
        <x:v>1. Chọn 3 linh kiện.
2. Bấm Lưu cấu hình.
3. Hoàn thành các bước yêu cầu (nếu có).
4. Xác nhận kết quả.</x:v>
      </x:c>
      <x:c r="F31" s="22" t="str">
        <x:v>CPU A; RAM A; SSD A; lưu</x:v>
      </x:c>
      <x:c r="G31" s="22" t="str">
        <x:v>Cấu hình được lưu hoặc hệ thống giải thích rõ điều kiện cần thiết (ví dụ đăng nhập); không thông báo thành công nếu không lưu được.</x:v>
      </x:c>
      <x:c r="H31" s="22" t="str">
        <x:v>Khảo sát giao diện hiện tại chỉ có Chọn lại từ đầu và Tải file cấu hình; không có nút Lưu cấu hình hoặc mục mở danh sách cấu hình đã lưu. Hai case lưu phía tài khoản chưa áp dụng.</x:v>
      </x:c>
      <x:c r="I31" s="22" t="str">
        <x:v>N/A</x:v>
      </x:c>
      <x:c r="J31" s="22" t="str">
        <x:v>High</x:v>
      </x:c>
      <x:c r="K31" s="22" t="str">
        <x:v>Functional</x:v>
      </x:c>
      <x:c r="L31" s="22" t="str">
        <x:v>Maybe</x:v>
      </x:c>
      <x:c r="M31" s="22" t="str">
        <x:v>Chức năng lưu được mô tả trong bài giới thiệu 2024; cần xác minh UI hiện tại.
Thực thi 23/10/2026, IAB desktop/macOS, Hồ Chí Minh. Bằng chứng: automation-plan/evidence/PC-027_028_no_save.jpg</x:v>
      </x:c>
    </x:row>
    <x:row r="32" ht="150" customHeight="1">
      <x:c r="A32" s="25" t="str">
        <x:v>PC-028</x:v>
      </x:c>
      <x:c r="B32" s="22" t="str">
        <x:v>Lưu &amp; xuất cấu hình</x:v>
      </x:c>
      <x:c r="C32" s="22" t="str">
        <x:v>Mở lại cấu hình đã lưu</x:v>
      </x:c>
      <x:c r="D32" s="22" t="str">
        <x:v>Đã lưu thành công một cấu hình; chức năng mở/xem cấu hình đã lưu còn tồn tại.</x:v>
      </x:c>
      <x:c r="E32" s="22" t="str">
        <x:v>1. Lưu cấu hình với CPU A và RAM A.
2. Rời khu vực cấu hình.
3. Mở mục cấu hình đã lưu.
4. So sánh dữ liệu.</x:v>
      </x:c>
      <x:c r="F32" s="22" t="str">
        <x:v>Cấu hình đã lưu: CPU A + RAM A</x:v>
      </x:c>
      <x:c r="G32" s="22" t="str">
        <x:v>Nội dung khôi phục đúng linh kiện/số lượng hoặc hiển thị lỗi rõ khi sản phẩm không còn khả dụng; không tự thay linh kiện không thông báo.</x:v>
      </x:c>
      <x:c r="H32" s="22" t="str">
        <x:v>Khảo sát giao diện hiện tại chỉ có Chọn lại từ đầu và Tải file cấu hình; không có nút Lưu cấu hình hoặc mục mở danh sách cấu hình đã lưu. Hai case lưu phía tài khoản chưa áp dụng.</x:v>
      </x:c>
      <x:c r="I32" s="22" t="str">
        <x:v>N/A</x:v>
      </x:c>
      <x:c r="J32" s="22" t="str">
        <x:v>High</x:v>
      </x:c>
      <x:c r="K32" s="22" t="str">
        <x:v>Persistence</x:v>
      </x:c>
      <x:c r="L32" s="22" t="str">
        <x:v>Maybe</x:v>
      </x:c>
      <x:c r="M32" s="22" t="str">
        <x:v>Chỉ áp dụng khi ứng dụng hỗ trợ quản lý cấu hình đã lưu.
Thực thi 23/10/2026, IAB desktop/macOS, Hồ Chí Minh. Bằng chứng: automation-plan/evidence/PC-027_028_no_save.jpg</x:v>
      </x:c>
    </x:row>
    <x:row r="33" ht="150" customHeight="1">
      <x:c r="A33" s="25" t="str">
        <x:v>PC-029</x:v>
      </x:c>
      <x:c r="B33" s="22" t="str">
        <x:v>Lưu &amp; xuất cấu hình</x:v>
      </x:c>
      <x:c r="C33" s="22" t="str">
        <x:v>Tải báo giá của cấu hình</x:v>
      </x:c>
      <x:c r="D33" s="22" t="str">
        <x:v>UI có chức năng Tải báo giá; ít nhất 2 linh kiện được chọn.</x:v>
      </x:c>
      <x:c r="E33" s="22" t="str">
        <x:v>1. Chọn CPU A, RAM A.
2. Ghi tên và giá hiển thị.
3. Nhấn Tải báo giá.
4. Mở tệp và đối chiếu.</x:v>
      </x:c>
      <x:c r="F33" s="22" t="str">
        <x:v>CPU A + RAM A; file báo giá</x:v>
      </x:c>
      <x:c r="G33" s="22" t="str">
        <x:v>Tải được tệp mở được bằng ứng dụng phù hợp; tài liệu có thông tin cấu hình, giá và tổng phù hợp dữ liệu hiển thị (hoặc thông báo điều kiện tải rõ ràng).</x:v>
      </x:c>
      <x:c r="H33" s="22" t="str">
        <x:v>Đã bấm Tải file cấu hình với CPU+RAM+SSD tổng 13.070.000đ. Công cụ không nhận sự kiện download sau 20 giây, không có thông báo lỗi trên UI. Chưa có tệp để đối chiếu; cần xác minh bằng trình duyệt thường trước khi kết luận lỗi website.</x:v>
      </x:c>
      <x:c r="I33" s="22" t="str">
        <x:v>Blocked</x:v>
      </x:c>
      <x:c r="J33" s="22" t="str">
        <x:v>High</x:v>
      </x:c>
      <x:c r="K33" s="22" t="str">
        <x:v>Download</x:v>
      </x:c>
      <x:c r="L33" s="22" t="str">
        <x:v>Maybe</x:v>
      </x:c>
      <x:c r="M33" s="22" t="str">
        <x:v>Chức năng tải báo giá được mô tả năm 2024; cần xác minh UI hiện tại.
Thực thi 23/10/2026, IAB desktop/macOS, Hồ Chí Minh. Bằng chứng: automation-plan/evidence/PC-029_download_blocked.jpg</x:v>
      </x:c>
    </x:row>
    <x:row r="34" ht="150" customHeight="1">
      <x:c r="A34" s="25" t="str">
        <x:v>PC-030</x:v>
      </x:c>
      <x:c r="B34" s="22" t="str">
        <x:v>Trường hợp biên</x:v>
      </x:c>
      <x:c r="C34" s="22" t="str">
        <x:v>Chống thêm trùng khi bấm chọn liên tiếp</x:v>
      </x:c>
      <x:c r="D34" s="22" t="str">
        <x:v>Danh sách CPU mở; sản phẩm SP_CPU_A chọn được.</x:v>
      </x:c>
      <x:c r="E34" s="22" t="str">
        <x:v>1. Mở danh sách CPU.
2. Bấm nút chọn CPU A nhanh 2 lần.
3. Quay lại cấu hình.
4. Kiểm tra dòng CPU và tổng tiền.</x:v>
      </x:c>
      <x:c r="F34" s="22" t="str">
        <x:v>Double click SP_CPU_A</x:v>
      </x:c>
      <x:c r="G34" s="22" t="str">
        <x:v>Không sinh hai dòng CPU ngoài quy tắc số lượng được phép; tổng tiền không bị cộng trùng do một thao tác lặp.</x:v>
      </x:c>
      <x:c r="H34" s="22" t="str">
        <x:v>Nhấp đúp Chọn CPU i5 12400F: chỉ một dòng CPU, số lượng 1; tạm tính 19.620.000đ không cộng trùng.</x:v>
      </x:c>
      <x:c r="I34" s="22" t="str">
        <x:v>Pass</x:v>
      </x:c>
      <x:c r="J34" s="22" t="str">
        <x:v>Medium</x:v>
      </x:c>
      <x:c r="K34" s="22" t="str">
        <x:v>Boundary/Idempotency</x:v>
      </x:c>
      <x:c r="L34" s="22" t="str">
        <x:v>Yes</x:v>
      </x:c>
      <x:c r="M34" s="22" t="str">
        <x:v>Thực thi 23/10/2026, IAB desktop/macOS, Hồ Chí Minh. Bằng chứng: automation-plan/evidence/PC-030_double_click.jpg</x:v>
      </x:c>
    </x:row>
  </x:sheetData>
  <x:conditionalFormatting sqref="J5:J34">
    <x:cfRule type="expression" dxfId="2" priority="3">
      <x:formula>$J5="Critical"</x:formula>
    </x:cfRule>
  </x:conditionalFormatting>
  <x:conditionalFormatting sqref="I5:I34">
    <x:cfRule type="cellIs" dxfId="3" priority="4" operator="equal">
      <x:formula>"Pass"</x:formula>
    </x:cfRule>
    <x:cfRule type="cellIs" dxfId="4" priority="5" operator="equal">
      <x:formula>"Fail"</x:formula>
    </x:cfRule>
    <x:cfRule type="cellIs" dxfId="5" priority="6" operator="equal">
      <x:formula>"Blocked"</x:formula>
    </x:cfRule>
    <x:cfRule type="cellIs" dxfId="6" priority="7" operator="equal">
      <x:formula>"N/A"</x:formula>
    </x:cfRule>
  </x:conditionalFormatting>
  <x:dataValidations count="3">
    <x:dataValidation type="list" sqref="I5:I34">
      <x:formula1>"Not Run,Pass,Fail,Blocked,N/A"</x:formula1>
    </x:dataValidation>
    <x:dataValidation type="list" sqref="J5:J34">
      <x:formula1>"Critical,High,Medium,Low"</x:formula1>
    </x:dataValidation>
    <x:dataValidation type="list" sqref="L5:L34">
      <x:formula1>"Yes,Maybe,No"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3" hidden="0" customWidth="1"/>
    <x:col min="3" max="3" width="62" hidden="0" customWidth="1"/>
    <x:col min="4" max="4" width="24" hidden="0" customWidth="1"/>
    <x:col min="5" max="5" width="40" hidden="0" customWidth="1"/>
    <x:col min="6" max="6" width="60" hidden="0" customWidth="1"/>
  </x:cols>
  <x:sheetData>
    <x:row r="1" ht="34" customHeight="1">
      <x:c r="A1" s="40" t="str">
        <x:v>TEST DATA | DỮ LIỆU KIỂM THỬ</x:v>
      </x:c>
      <x:c r="B1" s="36"/>
      <x:c r="C1" s="36"/>
      <x:c r="D1" s="36"/>
      <x:c r="E1" s="36"/>
      <x:c r="F1" s="36"/>
    </x:row>
    <x:row r="2" ht="36" customHeight="1">
      <x:c r="A2" s="41" t="str">
        <x:v>Biến đại diện thay cho giá/SKU cứng; người chạy chọn sản phẩm thực tại thời điểm test</x:v>
      </x:c>
      <x:c r="B2" s="37"/>
      <x:c r="C2" s="37"/>
      <x:c r="D2" s="37"/>
      <x:c r="E2" s="37"/>
      <x:c r="F2" s="37"/>
    </x:row>
    <x:row r="4" ht="32" customHeight="1">
      <x:c r="A4" s="16" t="str">
        <x:v>Data ID</x:v>
      </x:c>
      <x:c r="B4" s="16" t="str">
        <x:v>Nhóm</x:v>
      </x:c>
      <x:c r="C4" s="16" t="str">
        <x:v>Tiêu chí chọn</x:v>
      </x:c>
      <x:c r="D4" s="16" t="str">
        <x:v>Giá cần ghi</x:v>
      </x:c>
      <x:c r="E4" s="16" t="str">
        <x:v>Giá trị thực khi test</x:v>
      </x:c>
      <x:c r="F4" s="16" t="str">
        <x:v>Ghi chú</x:v>
      </x:c>
    </x:row>
    <x:row r="5" ht="84" customHeight="1">
      <x:c r="A5" s="25" t="str">
        <x:v>SP_CPU_A</x:v>
      </x:c>
      <x:c r="B5" s="22" t="str">
        <x:v>CPU</x:v>
      </x:c>
      <x:c r="C5" s="22" t="str">
        <x:v>CPU đang bán, có thao tác chọn</x:v>
      </x:c>
      <x:c r="D5" s="22" t="str">
        <x:v>P_CPU_A</x:v>
      </x:c>
      <x:c r="E5" s="22" t="str">
        <x:v>CPU Intel Core i5 12400F; 4.290.000đ</x:v>
      </x:c>
      <x:c r="F5" s="22" t="str">
        <x:v>Không dựa vào SKU cố định</x:v>
      </x:c>
    </x:row>
    <x:row r="6" ht="84" customHeight="1">
      <x:c r="A6" s="25" t="str">
        <x:v>SP_CPU_B</x:v>
      </x:c>
      <x:c r="B6" s="22" t="str">
        <x:v>CPU</x:v>
      </x:c>
      <x:c r="C6" s="22" t="str">
        <x:v>CPU khác A, đang bán; tốt nhất giá khác A</x:v>
      </x:c>
      <x:c r="D6" s="22" t="str">
        <x:v>P_CPU_B</x:v>
      </x:c>
      <x:c r="E6" s="22" t="str">
        <x:v>CPU Intel Core i5-12400F (TRAY); 3.990.000đ</x:v>
      </x:c>
      <x:c r="F6" s="22" t="str">
        <x:v>Dùng test replace</x:v>
      </x:c>
    </x:row>
    <x:row r="7" ht="84" customHeight="1">
      <x:c r="A7" s="25" t="str">
        <x:v>SP_MAIN_A</x:v>
      </x:c>
      <x:c r="B7" s="22" t="str">
        <x:v>Mainboard</x:v>
      </x:c>
      <x:c r="C7" s="22" t="str">
        <x:v>Bo mạch chủ đang bán</x:v>
      </x:c>
      <x:c r="D7" s="22" t="str">
        <x:v>P_MAIN_A</x:v>
      </x:c>
      <x:c r="E7" s="22" t="str">
        <x:v>Mainboard Asus TUF Gaming B760M-PLUS Wifi D4; 3.750.000đ</x:v>
      </x:c>
      <x:c r="F7" s="22" t="str">
        <x:v>Chọn loại tương thích nếu UI có kiểm tra</x:v>
      </x:c>
    </x:row>
    <x:row r="8" ht="84" customHeight="1">
      <x:c r="A8" s="25" t="str">
        <x:v>SP_RAM_A</x:v>
      </x:c>
      <x:c r="B8" s="22" t="str">
        <x:v>RAM</x:v>
      </x:c>
      <x:c r="C8" s="22" t="str">
        <x:v>RAM đang bán</x:v>
      </x:c>
      <x:c r="D8" s="22" t="str">
        <x:v>P_RAM_A</x:v>
      </x:c>
      <x:c r="E8" s="22" t="str">
        <x:v>RAM PC ADATA XPG D50 RGB 16GB (1x16GB) 3200MHz DDR4; 4.290.000đ</x:v>
      </x:c>
      <x:c r="F8" s="22" t="str"/>
    </x:row>
    <x:row r="9" ht="84" customHeight="1">
      <x:c r="A9" s="25" t="str">
        <x:v>SP_RAM_B</x:v>
      </x:c>
      <x:c r="B9" s="22" t="str">
        <x:v>RAM</x:v>
      </x:c>
      <x:c r="C9" s="22" t="str">
        <x:v>RAM khác A, còn hàng</x:v>
      </x:c>
      <x:c r="D9" s="22" t="str">
        <x:v>P_RAM_B</x:v>
      </x:c>
      <x:c r="E9" s="22" t="str">
        <x:v>RAM PC Kingston Fury Beast DDR4 3200MHz 16GB KF432C16BB1/16WP; 3.990.000đ</x:v>
      </x:c>
      <x:c r="F9" s="22" t="str">
        <x:v>Dùng test replace</x:v>
      </x:c>
    </x:row>
    <x:row r="10" ht="84" customHeight="1">
      <x:c r="A10" s="25" t="str">
        <x:v>SP_SSD_A</x:v>
      </x:c>
      <x:c r="B10" s="22" t="str">
        <x:v>Lưu trữ</x:v>
      </x:c>
      <x:c r="C10" s="22" t="str">
        <x:v>SSD/HDD đang bán</x:v>
      </x:c>
      <x:c r="D10" s="22" t="str">
        <x:v>P_SSD_A</x:v>
      </x:c>
      <x:c r="E10" s="22" t="str">
        <x:v>Ổ cứng SSD Kingston NV3 PCIe 4.0 NVMe 1TB; 4.490.000đ</x:v>
      </x:c>
      <x:c r="F10" s="22" t="str"/>
    </x:row>
    <x:row r="11" ht="84" customHeight="1">
      <x:c r="A11" s="25" t="str">
        <x:v>SP_GPU_A</x:v>
      </x:c>
      <x:c r="B11" s="22" t="str">
        <x:v>VGA</x:v>
      </x:c>
      <x:c r="C11" s="22" t="str">
        <x:v>VGA đang bán</x:v>
      </x:c>
      <x:c r="D11" s="22" t="str">
        <x:v>P_GPU_A</x:v>
      </x:c>
      <x:c r="E11" s="22" t="str">
        <x:v>VGA Gigabyte Radeon RX 6500 XT Eagle 4GB GV-R65XTEAGLE-4GD; 4.990.000đ</x:v>
      </x:c>
      <x:c r="F11" s="22" t="str"/>
    </x:row>
    <x:row r="12" ht="84" customHeight="1">
      <x:c r="A12" s="25" t="str">
        <x:v>SP_PSU_A</x:v>
      </x:c>
      <x:c r="B12" s="22" t="str">
        <x:v>PSU</x:v>
      </x:c>
      <x:c r="C12" s="22" t="str">
        <x:v>Nguồn máy tính còn hàng</x:v>
      </x:c>
      <x:c r="D12" s="22" t="str">
        <x:v>P_PSU_A</x:v>
      </x:c>
      <x:c r="E12" s="22" t="str">
        <x:v>Nguồn máy tính Corsair CX650; 1.450.000đ</x:v>
      </x:c>
      <x:c r="F12" s="22" t="str"/>
    </x:row>
    <x:row r="13" ht="84" customHeight="1">
      <x:c r="A13" s="25" t="str">
        <x:v>SP_CASE_A</x:v>
      </x:c>
      <x:c r="B13" s="22" t="str">
        <x:v>Case</x:v>
      </x:c>
      <x:c r="C13" s="22" t="str">
        <x:v>Vỏ máy tính còn hàng</x:v>
      </x:c>
      <x:c r="D13" s="22" t="str">
        <x:v>P_CASE_A</x:v>
      </x:c>
      <x:c r="E13" s="22" t="str">
        <x:v>Case máy tính Jetek EN16 (ATX); 250.000đ</x:v>
      </x:c>
      <x:c r="F13" s="22" t="str"/>
    </x:row>
    <x:row r="14" ht="84" customHeight="1">
      <x:c r="A14" s="25" t="str">
        <x:v>SP_COOL_A</x:v>
      </x:c>
      <x:c r="B14" s="22" t="str">
        <x:v>Tản nhiệt</x:v>
      </x:c>
      <x:c r="C14" s="22" t="str">
        <x:v>Tản nhiệt CPU còn hàng</x:v>
      </x:c>
      <x:c r="D14" s="22" t="str">
        <x:v>P_COOL_A</x:v>
      </x:c>
      <x:c r="E14" s="22" t="str">
        <x:v>Tản nhiệt khí Xigmatek EPIX II; 400.000đ</x:v>
      </x:c>
      <x:c r="F14" s="22" t="str"/>
    </x:row>
    <x:row r="15" ht="84" customHeight="1">
      <x:c r="A15" s="25" t="str">
        <x:v>SP_HETHANG</x:v>
      </x:c>
      <x:c r="B15" s="22" t="str">
        <x:v>Tùy chọn</x:v>
      </x:c>
      <x:c r="C15" s="22" t="str">
        <x:v>Mặt hàng được đánh dấu hết hàng</x:v>
      </x:c>
      <x:c r="D15" s="22" t="str">
        <x:v>N/A</x:v>
      </x:c>
      <x:c r="E15" s="22" t="str">
        <x:v>Không có SKU hết hàng trong 45 CPU đã khảo sát; Blocked</x:v>
      </x:c>
      <x:c r="F15" s="22" t="str">
        <x:v>Không coi thiếu dữ liệu là Pass hoặc lỗi website.</x:v>
      </x:c>
    </x:row>
    <x:row r="16" ht="48" customHeight="1">
      <x:c r="A16" s="25" t="str">
        <x:v>NO_MATCH</x:v>
      </x:c>
      <x:c r="B16" s="22" t="str">
        <x:v>Tìm kiếm</x:v>
      </x:c>
      <x:c r="C16" s="22" t="str">
        <x:v>Chuỗi không tương ứng với tên sản phẩm</x:v>
      </x:c>
      <x:c r="D16" s="22" t="str">
        <x:v>N/A</x:v>
      </x:c>
      <x:c r="E16" s="22" t="str">
        <x:v>zzx_no_product_987654</x:v>
      </x:c>
      <x:c r="F16" s="22" t="str">
        <x:v>Chỉ áp dụng khi có search ở popup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36" hidden="0" customWidth="1"/>
    <x:col min="3" max="3" width="26" hidden="0" customWidth="1"/>
    <x:col min="4" max="4" width="65" hidden="0" customWidth="1"/>
    <x:col min="5" max="5" width="13" hidden="0" customWidth="1"/>
    <x:col min="6" max="6" width="60" hidden="0" customWidth="1"/>
    <x:col min="7" max="7" width="22" hidden="0" customWidth="1"/>
    <x:col min="8" max="8" width="50" hidden="0" customWidth="1"/>
  </x:cols>
  <x:sheetData>
    <x:row r="1" ht="34" customHeight="1">
      <x:c r="A1" s="40" t="str">
        <x:v>AUTOMATION PLAN | PLAYWRIGHT</x:v>
      </x:c>
      <x:c r="B1" s="36"/>
      <x:c r="C1" s="36"/>
      <x:c r="D1" s="36"/>
      <x:c r="E1" s="36"/>
      <x:c r="F1" s="36"/>
      <x:c r="G1" s="36"/>
      <x:c r="H1" s="36"/>
    </x:row>
    <x:row r="2" ht="48" customHeight="1">
      <x:c r="A2" s="41" t="str">
        <x:v>Đã chạy UI qua trình duyệt điều khiển; có ảnh và log. Bộ Playwright độc lập đã viết, mới kiểm tra cú pháp, chưa có lượt npm test/CI.</x:v>
      </x:c>
      <x:c r="B2" s="37"/>
      <x:c r="C2" s="37"/>
      <x:c r="D2" s="37"/>
      <x:c r="E2" s="37"/>
      <x:c r="F2" s="37"/>
      <x:c r="G2" s="37"/>
      <x:c r="H2" s="37"/>
    </x:row>
    <x:row r="4" ht="32" customHeight="1">
      <x:c r="A4" s="16" t="str">
        <x:v>Thứ tự</x:v>
      </x:c>
      <x:c r="B4" s="16" t="str">
        <x:v>Work item</x:v>
      </x:c>
      <x:c r="C4" s="16" t="str">
        <x:v>Test case liên quan</x:v>
      </x:c>
      <x:c r="D4" s="16" t="str">
        <x:v>Cách triển khai</x:v>
      </x:c>
      <x:c r="E4" s="16" t="str">
        <x:v>Ưu tiên</x:v>
      </x:c>
      <x:c r="F4" s="16" t="str">
        <x:v>Mục tiêu / Assertion</x:v>
      </x:c>
      <x:c r="G4" s="16" t="str">
        <x:v>Status</x:v>
      </x:c>
      <x:c r="H4" s="16" t="str">
        <x:v>Ghi chú</x:v>
      </x:c>
    </x:row>
    <x:row r="5" ht="105" customHeight="1">
      <x:c r="A5" s="22" t="n">
        <x:v>1</x:v>
      </x:c>
      <x:c r="B5" s="22" t="str">
        <x:v>Thiết lập Node.js + Playwright</x:v>
      </x:c>
      <x:c r="C5" s="22" t="str">
        <x:v>Tất cả</x:v>
      </x:c>
      <x:c r="D5" s="22" t="str">
        <x:v>npm init; npm i -D @playwright/test; npx playwright install</x:v>
      </x:c>
      <x:c r="E5" s="25" t="str">
        <x:v>P0</x:v>
      </x:c>
      <x:c r="F5" s="22" t="str">
        <x:v>Chạy chromium trên môi trường test cố định</x:v>
      </x:c>
      <x:c r="G5" s="22" t="str">
        <x:v>Prepared</x:v>
      </x:c>
      <x:c r="H5" s="22" t="str">
        <x:v>Có package.json; cần npm install và npx playwright install chromium ở môi trường chạy.</x:v>
      </x:c>
    </x:row>
    <x:row r="6" ht="105" customHeight="1">
      <x:c r="A6" s="22" t="n">
        <x:v>2</x:v>
      </x:c>
      <x:c r="B6" s="22" t="str">
        <x:v>Cấu hình baseURL, timeout, retry</x:v>
      </x:c>
      <x:c r="C6" s="22" t="str">
        <x:v>PC-001 ... PC-030</x:v>
      </x:c>
      <x:c r="D6" s="22" t="str">
        <x:v>playwright.config; baseURL Build PC; report HTML</x:v>
      </x:c>
      <x:c r="E6" s="25" t="str">
        <x:v>P0</x:v>
      </x:c>
      <x:c r="F6" s="22" t="str">
        <x:v>Test có report, trace/screenshot khi Fail</x:v>
      </x:c>
      <x:c r="G6" s="22" t="str">
        <x:v>Prepared</x:v>
      </x:c>
      <x:c r="H6" s="22" t="str">
        <x:v>Có playwright.config.mjs, trace và ảnh lỗi cho lượt chạy sau.</x:v>
      </x:c>
    </x:row>
    <x:row r="7" ht="105" customHeight="1">
      <x:c r="A7" s="22" t="n">
        <x:v>3</x:v>
      </x:c>
      <x:c r="B7" s="22" t="str">
        <x:v>Page Object: BuildPcPage</x:v>
      </x:c>
      <x:c r="C7" s="22" t="str">
        <x:v>PC-001 ... PC-030</x:v>
      </x:c>
      <x:c r="D7" s="22" t="str">
        <x:v>getByRole/getByText; method openCategory(), pickProduct(), getSelected(), getTotal()</x:v>
      </x:c>
      <x:c r="E7" s="25" t="str">
        <x:v>P0</x:v>
      </x:c>
      <x:c r="F7" s="22" t="str">
        <x:v>Locator ổn định; không phụ thuộc selector vị trí</x:v>
      </x:c>
      <x:c r="G7" s="22" t="str">
        <x:v>Implemented</x:v>
      </x:c>
      <x:c r="H7" s="22" t="str">
        <x:v>Page Object trong automation/pages/build-pc.mjs; locator đối chiếu DOM thật.</x:v>
      </x:c>
    </x:row>
    <x:row r="8" ht="105" customHeight="1">
      <x:c r="A8" s="22" t="n">
        <x:v>4</x:v>
      </x:c>
      <x:c r="B8" s="22" t="str">
        <x:v>Fixture dữ liệu sản phẩm</x:v>
      </x:c>
      <x:c r="C8" s="22" t="str">
        <x:v>PC-006 ... PC-022</x:v>
      </x:c>
      <x:c r="D8" s="22" t="str">
        <x:v>Lấy sản phẩm còn hàng từ UI; log giá và tên</x:v>
      </x:c>
      <x:c r="E8" s="25" t="str">
        <x:v>P0</x:v>
      </x:c>
      <x:c r="F8" s="22" t="str">
        <x:v>Dữ liệu động tránh SKU/giá cứng</x:v>
      </x:c>
      <x:c r="G8" s="22" t="str">
        <x:v>Verified on UI</x:v>
      </x:c>
      <x:c r="H8" s="22" t="str">
        <x:v>Tên và giá của lần chạy tại TEST_DATA; script đọc giá động.</x:v>
      </x:c>
    </x:row>
    <x:row r="9" ht="105" customHeight="1">
      <x:c r="A9" s="22" t="n">
        <x:v>5</x:v>
      </x:c>
      <x:c r="B9" s="22" t="str">
        <x:v>Smoke trang &amp; trạng thái rỗng</x:v>
      </x:c>
      <x:c r="C9" s="22" t="str">
        <x:v>PC-001, PC-002</x:v>
      </x:c>
      <x:c r="D9" s="22" t="str">
        <x:v>visit, wait heading, assert empty state</x:v>
      </x:c>
      <x:c r="E9" s="25" t="str">
        <x:v>P0</x:v>
      </x:c>
      <x:c r="F9" s="22" t="str">
        <x:v>Đúng trang, không có item đã chọn</x:v>
      </x:c>
      <x:c r="G9" s="22" t="str">
        <x:v>Executed UI</x:v>
      </x:c>
      <x:c r="H9" s="22" t="str">
        <x:v>PC-001/002/023 Pass.</x:v>
      </x:c>
    </x:row>
    <x:row r="10" ht="105" customHeight="1">
      <x:c r="A10" s="22" t="n">
        <x:v>6</x:v>
      </x:c>
      <x:c r="B10" s="22" t="str">
        <x:v>Mở/đóng popup &amp; chọn CPU</x:v>
      </x:c>
      <x:c r="C10" s="22" t="str">
        <x:v>PC-004, PC-005, PC-006</x:v>
      </x:c>
      <x:c r="D10" s="22" t="str">
        <x:v>open CPU, close; reopen + select first eligible</x:v>
      </x:c>
      <x:c r="E10" s="25" t="str">
        <x:v>P0</x:v>
      </x:c>
      <x:c r="F10" s="22" t="str">
        <x:v>Popup hiển thị, CPU được chọn, không thêm khi đóng</x:v>
      </x:c>
      <x:c r="G10" s="22" t="str">
        <x:v>Executed UI</x:v>
      </x:c>
      <x:c r="H10" s="22" t="str">
        <x:v>PC-004/005/006 Pass.</x:v>
      </x:c>
    </x:row>
    <x:row r="11" ht="105" customHeight="1">
      <x:c r="A11" s="22" t="n">
        <x:v>7</x:v>
      </x:c>
      <x:c r="B11" s="22" t="str">
        <x:v>Chọn nhiều nhóm</x:v>
      </x:c>
      <x:c r="C11" s="22" t="str">
        <x:v>PC-007 ... PC-014</x:v>
      </x:c>
      <x:c r="D11" s="22" t="str">
        <x:v>Vòng lặp chọn nhiều danh mục</x:v>
      </x:c>
      <x:c r="E11" s="25" t="str">
        <x:v>P0</x:v>
      </x:c>
      <x:c r="F11" s="22" t="str">
        <x:v>Chỉ xuất hiện đúng linh kiện theo danh mục</x:v>
      </x:c>
      <x:c r="G11" s="22" t="str">
        <x:v>Executed UI</x:v>
      </x:c>
      <x:c r="H11" s="22" t="str">
        <x:v>PC-007–014 Pass.</x:v>
      </x:c>
    </x:row>
    <x:row r="12" ht="105" customHeight="1">
      <x:c r="A12" s="22" t="n">
        <x:v>8</x:v>
      </x:c>
      <x:c r="B12" s="22" t="str">
        <x:v>Thay, xóa linh kiện</x:v>
      </x:c>
      <x:c r="C12" s="22" t="str">
        <x:v>PC-015 ... PC-018</x:v>
      </x:c>
      <x:c r="D12" s="22" t="str">
        <x:v>Thay CPU/RAM; xóa/clear nếu có</x:v>
      </x:c>
      <x:c r="E12" s="25" t="str">
        <x:v>P1</x:v>
      </x:c>
      <x:c r="F12" s="22" t="str">
        <x:v>Đúng transition, khác nhóm được giữ nguyên</x:v>
      </x:c>
      <x:c r="G12" s="22" t="str">
        <x:v>Executed UI</x:v>
      </x:c>
      <x:c r="H12" s="22" t="str">
        <x:v>PC-015–018 Pass.</x:v>
      </x:c>
    </x:row>
    <x:row r="13" ht="105" customHeight="1">
      <x:c r="A13" s="22" t="n">
        <x:v>9</x:v>
      </x:c>
      <x:c r="B13" s="22" t="str">
        <x:v>Kiểm thử tính tổng động</x:v>
      </x:c>
      <x:c r="C13" s="22" t="str">
        <x:v>PC-019 ... PC-023</x:v>
      </x:c>
      <x:c r="D13" s="22" t="str">
        <x:v>parseVND và tính tổng từ dòng giá hiển thị, so với tổng</x:v>
      </x:c>
      <x:c r="E13" s="25" t="str">
        <x:v>P0</x:v>
      </x:c>
      <x:c r="F13" s="22" t="str">
        <x:v>Sai lệch bằng 0 khi không có ưu đãi; cân nhắc discount</x:v>
      </x:c>
      <x:c r="G13" s="22" t="str">
        <x:v>Executed UI</x:v>
      </x:c>
      <x:c r="H13" s="22" t="str">
        <x:v>PC-019–023 Pass; đã đối chiếu 3 linh kiện và giá thay/xóa.</x:v>
      </x:c>
    </x:row>
    <x:row r="14" ht="105" customHeight="1">
      <x:c r="A14" s="22" t="n">
        <x:v>10</x:v>
      </x:c>
      <x:c r="B14" s="22" t="str">
        <x:v>Tìm kiếm &amp; tình trạng tồn</x:v>
      </x:c>
      <x:c r="C14" s="22" t="str">
        <x:v>PC-024 ... PC-026</x:v>
      </x:c>
      <x:c r="D14" s="22" t="str">
        <x:v>Tạo scenario dựa trên catalog và input search</x:v>
      </x:c>
      <x:c r="E14" s="25" t="str">
        <x:v>P2</x:v>
      </x:c>
      <x:c r="F14" s="22" t="str">
        <x:v>Thông báo rõ cho SKU hết hàng/không kết quả</x:v>
      </x:c>
      <x:c r="G14" s="22" t="str">
        <x:v>Partial</x:v>
      </x:c>
      <x:c r="H14" s="22" t="str">
        <x:v>PC-025/026 Pass; PC-024 Blocked do thiếu dữ liệu.</x:v>
      </x:c>
    </x:row>
    <x:row r="15" ht="105" customHeight="1">
      <x:c r="A15" s="22" t="n">
        <x:v>11</x:v>
      </x:c>
      <x:c r="B15" s="22" t="str">
        <x:v>Lưu và khôi phục cấu hình</x:v>
      </x:c>
      <x:c r="C15" s="22" t="str">
        <x:v>PC-027, PC-028</x:v>
      </x:c>
      <x:c r="D15" s="22" t="str">
        <x:v>Dùng account test riêng nếu bắt buộc login; assert storage</x:v>
      </x:c>
      <x:c r="E15" s="25" t="str">
        <x:v>P1</x:v>
      </x:c>
      <x:c r="F15" s="22" t="str">
        <x:v>Không nhầm dữ liệu đã lưu; đúng ràng buộc login</x:v>
      </x:c>
      <x:c r="G15" s="22" t="str">
        <x:v>N/A</x:v>
      </x:c>
      <x:c r="H15" s="22" t="str">
        <x:v>Không có hành động lưu/mở cấu hình trong UI khảo sát.</x:v>
      </x:c>
    </x:row>
    <x:row r="16" ht="105" customHeight="1">
      <x:c r="A16" s="22" t="n">
        <x:v>12</x:v>
      </x:c>
      <x:c r="B16" s="22" t="str">
        <x:v>Kiểm thử file báo giá</x:v>
      </x:c>
      <x:c r="C16" s="22" t="str">
        <x:v>PC-029</x:v>
      </x:c>
      <x:c r="D16" s="22" t="str">
        <x:v>page.expect_download(); kiểm tra filename và nội dung theo định dạng</x:v>
      </x:c>
      <x:c r="E16" s="25" t="str">
        <x:v>P1</x:v>
      </x:c>
      <x:c r="F16" s="22" t="str">
        <x:v>Có file, mở/đọc được, dữ liệu nhất quán</x:v>
      </x:c>
      <x:c r="G16" s="22" t="str">
        <x:v>Blocked</x:v>
      </x:c>
      <x:c r="H16" s="22" t="str">
        <x:v>PC-029 chưa có file download để đối chiếu.</x:v>
      </x:c>
    </x:row>
    <x:row r="17" ht="105" customHeight="1">
      <x:c r="A17" s="22" t="n">
        <x:v>13</x:v>
      </x:c>
      <x:c r="B17" s="22" t="str">
        <x:v>Stress thao tác chọn trùng</x:v>
      </x:c>
      <x:c r="C17" s="22" t="str">
        <x:v>PC-030</x:v>
      </x:c>
      <x:c r="D17" s="22" t="str">
        <x:v>click 2 lần có kiểm soát; assert số lượng/giá</x:v>
      </x:c>
      <x:c r="E17" s="25" t="str">
        <x:v>P2</x:v>
      </x:c>
      <x:c r="F17" s="22" t="str">
        <x:v>Không nhân đôi ngoài quy tắc cho phép</x:v>
      </x:c>
      <x:c r="G17" s="22" t="str">
        <x:v>Executed UI</x:v>
      </x:c>
      <x:c r="H17" s="22" t="str">
        <x:v>PC-030 Pass; nhấp đúp chỉ còn 1 CPU số lượng 1.</x:v>
      </x:c>
    </x:row>
    <x:row r="18" ht="105" customHeight="1">
      <x:c r="A18" s="22" t="n">
        <x:v>14</x:v>
      </x:c>
      <x:c r="B18" s="22" t="str">
        <x:v>Báo cáo và evidence</x:v>
      </x:c>
      <x:c r="C18" s="22" t="str">
        <x:v>Tất cả</x:v>
      </x:c>
      <x:c r="D18" s="22" t="str">
        <x:v>npx playwright test --reporter=html; attach screenshot/trace khi fail</x:v>
      </x:c>
      <x:c r="E18" s="25" t="str">
        <x:v>P0</x:v>
      </x:c>
      <x:c r="F18" s="22" t="str">
        <x:v>Có log Pass/Fail thật, không tạo bằng tay</x:v>
      </x:c>
      <x:c r="G18" s="22" t="str">
        <x:v>Completed</x:v>
      </x:c>
      <x:c r="H18" s="22" t="str">
        <x:v>Có execution-results.json, execution-report.md và ảnh thật; chưa có report Playwright CLI.</x:v>
      </x:c>
    </x:row>
    <x:row r="19" ht="105" customHeight="1">
      <x:c r="A19" s="22" t="n">
        <x:v>15</x:v>
      </x:c>
      <x:c r="B19" s="22" t="str">
        <x:v>Git workflow cá nhân</x:v>
      </x:c>
      <x:c r="C19" s="22" t="str">
        <x:v>Tất cả</x:v>
      </x:c>
      <x:c r="D19" s="22" t="str">
        <x:v>Commit và push trên HongNhan; PR chỉ mở khi có yêu cầu riêng.</x:v>
      </x:c>
      <x:c r="E19" s="25" t="str">
        <x:v>P0</x:v>
      </x:c>
      <x:c r="F19" s="22" t="str">
        <x:v>Commit/PR có thể truy cập; không tự merge nếu chưa duyệt</x:v>
      </x:c>
      <x:c r="G19" s="22" t="str">
        <x:v>GitHub Desktop</x:v>
      </x:c>
      <x:c r="H19" s="22" t="str">
        <x:v>Xem lịch sử commit và trạng thái đồng bộ của nhánh HongNhan để xác nhận push.</x:v>
      </x:c>
    </x:row>
    <x:row r="22" ht="28" customHeight="1">
      <x:c r="A22" s="29" t="str">
        <x:v>DEFINITION OF DONE (TUẦN NÀY)</x:v>
      </x:c>
      <x:c r="B22" s="29"/>
      <x:c r="C22" s="29"/>
      <x:c r="D22" s="29"/>
      <x:c r="E22" s="29"/>
      <x:c r="F22" s="29"/>
      <x:c r="G22" s="29"/>
      <x:c r="H22" s="29"/>
    </x:row>
    <x:row r="23" ht="25" customHeight="1">
      <x:c r="A23" s="20" t="str">
        <x:v>Đã review đủ 30 case, có Input–Expected–Steps và Actual Result.</x:v>
      </x:c>
      <x:c r="B23" s="20"/>
      <x:c r="C23" s="20"/>
      <x:c r="D23" s="20"/>
      <x:c r="E23" s="20"/>
      <x:c r="F23" s="20"/>
      <x:c r="G23" s="20"/>
      <x:c r="H23" s="20"/>
    </x:row>
    <x:row r="24" ht="25" customHeight="1">
      <x:c r="A24" s="20" t="str">
        <x:v>Test Design đã liên kết case IDs và kỹ thuật kiểm thử.</x:v>
      </x:c>
      <x:c r="B24" s="20"/>
      <x:c r="C24" s="20"/>
      <x:c r="D24" s="20"/>
      <x:c r="E24" s="20"/>
      <x:c r="F24" s="20"/>
      <x:c r="G24" s="20"/>
      <x:c r="H24" s="20"/>
    </x:row>
    <x:row r="25" ht="25" customHeight="1">
      <x:c r="A25" s="20" t="str">
        <x:v>Đã khảo sát UI; 26 Pass, 2 Blocked, 2 N/A, có bằng chứng.</x:v>
      </x:c>
      <x:c r="B25" s="20"/>
      <x:c r="C25" s="20"/>
      <x:c r="D25" s="20"/>
      <x:c r="E25" s="20"/>
      <x:c r="F25" s="20"/>
      <x:c r="G25" s="20"/>
      <x:c r="H25" s="20"/>
    </x:row>
    <x:row r="26" ht="25" customHeight="1">
      <x:c r="A26" s="20" t="str">
        <x:v>MSSV chưa được cung cấp; cần thay MaSV trước khi nộp chính thức.</x:v>
      </x:c>
      <x:c r="B26" s="20"/>
      <x:c r="C26" s="20"/>
      <x:c r="D26" s="20"/>
      <x:c r="E26" s="20"/>
      <x:c r="F26" s="20"/>
      <x:c r="G26" s="20"/>
      <x:c r="H26" s="20"/>
    </x:row>
    <x:row r="27" ht="25" customHeight="1">
      <x:c r="A27" s="20" t="str">
        <x:v>Git: xem commit thực tế và trạng thái đồng bộ tại nhánh HongNhan.</x:v>
      </x:c>
      <x:c r="B27" s="20"/>
      <x:c r="C27" s="20"/>
      <x:c r="D27" s="20"/>
      <x:c r="E27" s="20"/>
      <x:c r="F27" s="20"/>
      <x:c r="G27" s="20"/>
      <x:c r="H27" s="20"/>
    </x:row>
    <x:row r="28" ht="25" customHeight="1">
      <x:c r="A28" s="20" t="str">
        <x:v>PR và merge ngoài phạm vi cập nhật tuần này.</x:v>
      </x:c>
      <x:c r="B28" s="20"/>
      <x:c r="C28" s="20"/>
      <x:c r="D28" s="20"/>
      <x:c r="E28" s="20"/>
      <x:c r="F28" s="20"/>
      <x:c r="G28" s="20"/>
      <x:c r="H28" s="20"/>
    </x:row>
  </x:sheetData>
  <x:mergeCells>
    <x:mergeCell ref="A22:H22"/>
    <x:mergeCell ref="A23:H23"/>
    <x:mergeCell ref="A24:H24"/>
    <x:mergeCell ref="A25:H25"/>
    <x:mergeCell ref="A26:H26"/>
    <x:mergeCell ref="A27:H27"/>
    <x:mergeCell ref="A28:H28"/>
  </x:mergeCells>
  <x:dataValidations count="1">
    <x:dataValidation type="list" sqref="G5:G19">
      <x:formula1>"Planned,In Progress,Done,Blocked,Needs UI check"</x:formula1>
    </x:dataValidation>
  </x:dataValidations>
  <x:pageMargins left="0.7" right="0.7" top="0.75" bottom="0.75" header="0.3" footer="0.3"/>
</x:worksheet>
</file>