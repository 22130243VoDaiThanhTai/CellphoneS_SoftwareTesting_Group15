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est case List" sheetId="2" r:id="rId6"/>
    <sheet state="visible" name="TestDesign" sheetId="3" r:id="rId7"/>
    <sheet state="visible" name="Auth" sheetId="4" r:id="rId8"/>
    <sheet state="visible" name="Test Report" sheetId="5" r:id="rId9"/>
  </sheets>
  <definedNames>
    <definedName name="LOCAL_MONTH_FORMAT">#REF!</definedName>
    <definedName name="LOCAL_DAY_FORMAT">#REF!</definedName>
    <definedName name="LOCAL_HOUR_FORMAT">#REF!</definedName>
    <definedName name="LOCAL_MINUTE_FORMAT">#REF!</definedName>
    <definedName localSheetId="2" name="_Toc301930478">TestDesign!$B$379</definedName>
    <definedName name="LOCAL_TIME_SEPARATOR">#REF!</definedName>
    <definedName name="LOCAL_DATE_SEPARATOR">#REF!</definedName>
    <definedName localSheetId="2" name="_Toc301930468">TestDesign!$B$219</definedName>
    <definedName name="ACTION">#REF!</definedName>
    <definedName name="LOCAL_SECOND_FORMAT">#REF!</definedName>
    <definedName name="LOCAL_YEAR_FORMAT">#REF!</definedName>
    <definedName hidden="1" localSheetId="2" name="_xlnm._FilterDatabase">TestDesign!$A$1:$F$33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ID#AAAAHWfBFzA
    (2020-11-28 06:09:48)
*A: Add
  M: Modify
  D: Delete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ID#AAAAHWfBFzI
    (2020-11-28 06:09:48)
Pass
Fail
Untested
N/A</t>
      </text>
    </comment>
  </commentList>
</comments>
</file>

<file path=xl/sharedStrings.xml><?xml version="1.0" encoding="utf-8"?>
<sst xmlns="http://schemas.openxmlformats.org/spreadsheetml/2006/main" count="347" uniqueCount="259">
  <si>
    <t>Requirement Level 1</t>
  </si>
  <si>
    <t>Requirement Level 2</t>
  </si>
  <si>
    <t>Requirement Level 3</t>
  </si>
  <si>
    <t>Test Criteria</t>
  </si>
  <si>
    <t>Test Type</t>
  </si>
  <si>
    <t>Note</t>
  </si>
  <si>
    <t>TEST CASE LIST</t>
  </si>
  <si>
    <t>TEST CASE</t>
  </si>
  <si>
    <t xml:space="preserve">1. Tài khoản &amp; Xác thực </t>
  </si>
  <si>
    <t>Đăng ký</t>
  </si>
  <si>
    <t>Điều hướng</t>
  </si>
  <si>
    <t>Kiểm tra mở form đăng ký từ form đăng nhập</t>
  </si>
  <si>
    <t>Module Code</t>
  </si>
  <si>
    <t>Function</t>
  </si>
  <si>
    <t>TC: [AUTH-1]</t>
  </si>
  <si>
    <t>Project Name</t>
  </si>
  <si>
    <t>AUTH</t>
  </si>
  <si>
    <t>Thành công</t>
  </si>
  <si>
    <t>Kiểm tra đăng ký với thông tin hợp lệ</t>
  </si>
  <si>
    <t>TC: [AUTH-2] | Kịch bản chính</t>
  </si>
  <si>
    <t>Passed</t>
  </si>
  <si>
    <t>Test requirement</t>
  </si>
  <si>
    <t>Kiểm tra đăng nhập bằng tài khoản vừa đăng ký</t>
  </si>
  <si>
    <t>TC: [AUTH-3] | Luồng nghiệp vụ</t>
  </si>
  <si>
    <t>Đăng ký / Đăng nhập / Đăng xuất</t>
  </si>
  <si>
    <t>Không thành công</t>
  </si>
  <si>
    <t>Kiểm tra đăng ký khi để trống tất cả các trường</t>
  </si>
  <si>
    <t>TC: [AUTH-4]</t>
  </si>
  <si>
    <t>CellphoneS</t>
  </si>
  <si>
    <t>Failed</t>
  </si>
  <si>
    <t>Kiểm tra đăng ký khi chỉ bỏ trống một trường bắt buộc</t>
  </si>
  <si>
    <t>Tester</t>
  </si>
  <si>
    <t>TC: [AUTH-5] | Bảng quyết định</t>
  </si>
  <si>
    <t>Creator</t>
  </si>
  <si>
    <t>Lê Quang Huy - 22130100</t>
  </si>
  <si>
    <t>Kiểm tra đăng ký với SĐT sai định dạng (thiếu số, chứa chữ, quá dài)</t>
  </si>
  <si>
    <t>TC: [AUTH-6] | Phân vùng tương đương, giá trị biên</t>
  </si>
  <si>
    <t>Blocked</t>
  </si>
  <si>
    <t>Project Code</t>
  </si>
  <si>
    <t>CPS</t>
  </si>
  <si>
    <t>Kiểm tra đăng ký với SĐT đã có tài khoản</t>
  </si>
  <si>
    <t>TC: [AUTH-7] | Bảng quyết định</t>
  </si>
  <si>
    <t>Reviewer/Approver</t>
  </si>
  <si>
    <t>Trần Thị Thanh Nga</t>
  </si>
  <si>
    <t>Kiểm tra đăng ký với email sai định dạng</t>
  </si>
  <si>
    <t>TC: [AUTH-8] | Phân vùng tương đương</t>
  </si>
  <si>
    <t>Untested</t>
  </si>
  <si>
    <t>Document Code</t>
  </si>
  <si>
    <t>Skipped</t>
  </si>
  <si>
    <t>Kiểm tra đăng ký với email đã có tài khoản</t>
  </si>
  <si>
    <t>Number of Test cases</t>
  </si>
  <si>
    <t>TC: [AUTH-9] | Bảng quyết định</t>
  </si>
  <si>
    <t>Kiểm tra đăng ký với mật khẩu không đạt yêu cầu</t>
  </si>
  <si>
    <t>TC: [AUTH-10] | Giá trị biên</t>
  </si>
  <si>
    <t>Kiểm tra đăng ký khi mật khẩu xác nhận không khớp</t>
  </si>
  <si>
    <t>TC: [AUTH-11]</t>
  </si>
  <si>
    <t>Kiểm tra đăng ký khi không tích đồng ý điều khoản</t>
  </si>
  <si>
    <t>TC: [AUTH-12]</t>
  </si>
  <si>
    <t>Kiểm tra đăng ký với họ tên không hợp lệ</t>
  </si>
  <si>
    <t>TC: [AUTH-13] | Phân vùng tương đương, giá trị biên</t>
  </si>
  <si>
    <t>Issue Date</t>
  </si>
  <si>
    <t>Kiểm tra đăng ký khi dữ liệu có khoảng trắng đầu/cuối</t>
  </si>
  <si>
    <t>TC: [AUTH-14]</t>
  </si>
  <si>
    <t>Test Environment Setup Description</t>
  </si>
  <si>
    <t>Bảo mật</t>
  </si>
  <si>
    <t>Kiểm tra chèn script (XSS) và SQL injection vào form đăng ký</t>
  </si>
  <si>
    <t>Non-Function</t>
  </si>
  <si>
    <t>TC: [AUTH-15]</t>
  </si>
  <si>
    <t>Đăng nhập</t>
  </si>
  <si>
    <t>1. Website: https://cellphones.com.vn (dùng tài khoản test, không tạo giao dịch thật)
2. Trình duyệt: Google Chrome &lt;ghi phiên bản khi chạy&gt;; HĐH: &lt;Windows/macOS&gt;
3. Test data dùng chung:
   - SDT_DA_DK: SĐT đã có tài khoản;  EMAIL_DA_DK: email của tài khoản đó;  MK_DUNG: mật khẩu hiện tại (vd: Test@1234);  MK_SAI: Sai@9999
   - SDT_MOI / EMAIL_MOI: SĐT và email hợp lệ chưa đăng ký, chỉ dùng cho case đăng ký thành công [AUTH-2] (mỗi bộ chỉ dùng 1 lần)
   - SDT_CHUA_DK / EMAIL_CHUA_DK: SĐT và email hợp lệ chưa đăng ký, dùng cho các case đăng ký lỗi (không tạo tài khoản)
   - HOTEN: Nguyen Van Test;  MK_DK: mật khẩu hợp lệ khi đăng ký (vd: Test@1234)
4. Kết quả mong đợi (Expected Output) là bản thiết kế ban đầu, cần đối chiếu với hành vi thực tế khi chạy test</t>
  </si>
  <si>
    <t>Kiểm tra đăng nhập với SĐT hợp lệ &amp; mật khẩu đúng</t>
  </si>
  <si>
    <t>TC: [AUTH-16] | Kịch bản chính</t>
  </si>
  <si>
    <t>Version</t>
  </si>
  <si>
    <t>1.0</t>
  </si>
  <si>
    <t>Kiểm tra đăng nhập với SĐT đúng &amp; mật khẩu sai</t>
  </si>
  <si>
    <t>TC: [AUTH-17] | Bảng quyết định</t>
  </si>
  <si>
    <t>Kiểm tra đăng nhập với SĐT chưa đăng ký</t>
  </si>
  <si>
    <t>TC: [AUTH-18] | Bảng quyết định</t>
  </si>
  <si>
    <t>Kiểm tra đăng nhập khi để trống cả SĐT và mật khẩu</t>
  </si>
  <si>
    <t>TC: [AUTH-19]</t>
  </si>
  <si>
    <t>Kiểm tra đăng nhập khi chỉ bỏ trống một trường</t>
  </si>
  <si>
    <t>TC: [AUTH-20]</t>
  </si>
  <si>
    <t>Record of change</t>
  </si>
  <si>
    <t>Kiểm tra đăng nhập với SĐT sai định dạng (thiếu số, chứa chữ, quá dài)</t>
  </si>
  <si>
    <t>TC: [AUTH-21] | Phân vùng tương đương, giá trị biên</t>
  </si>
  <si>
    <t>Kiểm tra đăng nhập khi SĐT có khoảng trắng đầu/cuối</t>
  </si>
  <si>
    <t>Effective Date</t>
  </si>
  <si>
    <t>TC: [AUTH-22]</t>
  </si>
  <si>
    <t>No</t>
  </si>
  <si>
    <t>Function Name</t>
  </si>
  <si>
    <t>Kiểm tra mật khẩu phân biệt chữ hoa/thường</t>
  </si>
  <si>
    <t>TC: [AUTH-23]</t>
  </si>
  <si>
    <t>Sheet Name</t>
  </si>
  <si>
    <t>Description</t>
  </si>
  <si>
    <t>Change Item</t>
  </si>
  <si>
    <t>Giao diện</t>
  </si>
  <si>
    <t>Kiểm tra ẩn/hiện mật khẩu bằng biểu tượng con mắt</t>
  </si>
  <si>
    <t>Pre-Condition</t>
  </si>
  <si>
    <t>*A,D,M</t>
  </si>
  <si>
    <t>GUI</t>
  </si>
  <si>
    <t>Change description</t>
  </si>
  <si>
    <t>TC: [AUTH-24]</t>
  </si>
  <si>
    <t>Owner</t>
  </si>
  <si>
    <t>Reference</t>
  </si>
  <si>
    <t>Kiểm tra đăng nhập sai nhiều lần liên tiếp (captcha/khóa tạm)</t>
  </si>
  <si>
    <t>Hướng dẫn: nhập test case từ dòng 9 (cột ID tự sinh). Result chọn từ danh sách: Passed/Failed/Blocked/Untested/Skipped. Giữ nguyên tên sheet và Module code (B2) để ghép file nhóm.</t>
  </si>
  <si>
    <t>TC: [AUTH-25]</t>
  </si>
  <si>
    <t>Kiểm tra chèn SQL injection vào ô đăng nhập</t>
  </si>
  <si>
    <t>TC: [AUTH-26]</t>
  </si>
  <si>
    <t>Kiểm tra chèn mã script (XSS) vào ô đăng nhập</t>
  </si>
  <si>
    <t>0.1</t>
  </si>
  <si>
    <t>TC: [AUTH-27]</t>
  </si>
  <si>
    <t>ID</t>
  </si>
  <si>
    <t>Auth</t>
  </si>
  <si>
    <t>A</t>
  </si>
  <si>
    <t>Phiên đăng nhập</t>
  </si>
  <si>
    <t>Kiểm tra giữ phiên sau khi tải lại trang / mở lại tab</t>
  </si>
  <si>
    <t>Test Case Description</t>
  </si>
  <si>
    <t>TC: [AUTH-28]</t>
  </si>
  <si>
    <t>Tạo test case chức năng Đăng ký / Đăng nhập / Đăng xuất</t>
  </si>
  <si>
    <t>Test Case Procedure</t>
  </si>
  <si>
    <t>Expected Output</t>
  </si>
  <si>
    <t>Assignment 6 - Phân tích &amp; Thiết kế Test Case Tự Động</t>
  </si>
  <si>
    <t>Inter-test case Dependence</t>
  </si>
  <si>
    <t>Đăng xuất</t>
  </si>
  <si>
    <t>Result</t>
  </si>
  <si>
    <t>Kiểm tra bấm [Đăng xuất] từ menu tài khoản</t>
  </si>
  <si>
    <t>Test date</t>
  </si>
  <si>
    <t>TC: [AUTH-29]</t>
  </si>
  <si>
    <t>Kiểm tra bấm Back của trình duyệt sau khi đăng xuất</t>
  </si>
  <si>
    <t>TC: [AUTH-30]</t>
  </si>
  <si>
    <t>Đăng ký tài khoản, đăng nhập và đăng xuất</t>
  </si>
  <si>
    <t>Có tài khoản test đã đăng ký (SDT_DA_DK); có SĐT/email chưa đăng ký để test đăng ký</t>
  </si>
  <si>
    <t>Mở form đăng ký từ form đăng nhập</t>
  </si>
  <si>
    <t>Pre-condition:
+ Chưa đăng nhập; đang ở trang chủ https://cellphones.com.vn
Step:
1. Bấm [Đăng nhập] trên header để mở form đăng nhập
2. Bấm liên kết [Đăng ký ngay] dưới nút [Đăng nhập]</t>
  </si>
  <si>
    <t>1. Form đăng nhập hiển thị có liên kết [Đăng ký ngay]
2. Hiển thị form đăng ký gồm các ô nhập thông tin (họ tên, SĐT, email, mật khẩu), ô đồng ý điều khoản, nút [Đăng ký] và lựa chọn đăng ký nhanh bằng Google</t>
  </si>
  <si>
    <t>Danh sách trường và nhãn nút cần đối chiếu web thật khi chạy test</t>
  </si>
  <si>
    <t>Đăng ký thành công với thông tin hợp lệ</t>
  </si>
  <si>
    <t>Pre-condition:
+ Chưa đăng nhập; đang ở trang chủ https://cellphones.com.vn
+ SDT_MOI và EMAIL_MOI chưa đăng ký tài khoản (xem mục Test data ở sheet Test case List)
Test data:
- Họ và tên: HOTEN (Nguyen Van Test)
- SĐT: SDT_MOI
- Email: EMAIL_MOI
- Mật khẩu: MK_DK (Test@1234)
- Nhập lại mật khẩu: MK_DK (nếu form có ô này)
Step:
1. Bấm [Đăng nhập] trên header, sau đó bấm [Đăng ký ngay] để mở form đăng ký
2. Nhập họ tên, SĐT, email hợp lệ
3. Nhập mật khẩu và nhập lại mật khẩu
4. Tích chọn đồng ý điều khoản
5. Bấm [Đăng ký]</t>
  </si>
  <si>
    <t>5. Hiển thị thông báo đăng ký thành công; tài khoản được tạo (tự đăng nhập hoặc chuyển về form đăng nhập)</t>
  </si>
  <si>
    <t>SDT_MOI/EMAIL_MOI chỉ đăng ký được 1 lần, đổi dữ liệu trước lần chạy sau. Nếu web yêu cầu OTP thì nhập mã nhận được và ghi chú lại (chạy thủ công)</t>
  </si>
  <si>
    <t>Đăng nhập bằng tài khoản vừa đăng ký</t>
  </si>
  <si>
    <t>Pre-condition:
+ Đã đăng ký thành công tài khoản SDT_MOI / MK_DK (xem [AUTH-2]); đang ở trạng thái chưa đăng nhập
Test data:
- SĐT: SDT_MOI
- Mật khẩu: MK_DK
Step:
1. Mở form đăng nhập
2. Nhập SĐT SDT_MOI
3. Nhập mật khẩu MK_DK
4. Bấm [Đăng nhập]</t>
  </si>
  <si>
    <t>4. Đăng nhập thành công; header hiển thị tên tài khoản vừa đăng ký thay cho nút [Đăng nhập]</t>
  </si>
  <si>
    <t>[AUTH-2]</t>
  </si>
  <si>
    <t>Đăng ký khi để trống tất cả các trường</t>
  </si>
  <si>
    <t>Pre-condition:
+ Chưa đăng nhập; đang ở trang chủ https://cellphones.com.vn
Step:
1. Bấm [Đăng nhập] trên header, sau đó bấm [Đăng ký ngay] để mở form đăng ký
2. Để trống tất cả các ô nhập
3. Bấm [Đăng ký]</t>
  </si>
  <si>
    <t>3. Hiển thị thông báo yêu cầu nhập các trường bắt buộc (hoặc nút [Đăng ký] bị vô hiệu); không tạo tài khoản</t>
  </si>
  <si>
    <t>Đăng ký khi chỉ bỏ trống một trường bắt buộc</t>
  </si>
  <si>
    <t>Pre-condition:
+ Chưa đăng nhập; đang ở trang chủ https://cellphones.com.vn
Test data:
- Bỏ trống lần lượt từng trường: Họ và tên / SĐT / Email / Mật khẩu / Nhập lại mật khẩu
- Các trường còn lại hợp lệ: HOTEN, SDT_CHUA_DK, EMAIL_CHUA_DK, MK_DK (xem mục Test data ở sheet Test case List)
Step:
1. Bấm [Đăng nhập] trên header, sau đó bấm [Đăng ký ngay] để mở form đăng ký
2. Nhập hợp lệ các trường, chỉ bỏ trống một trường
3. Tích chọn đồng ý điều khoản và bấm [Đăng ký]
4. Lặp lại với từng trường còn lại</t>
  </si>
  <si>
    <t>3. Với mỗi lần bỏ trống: báo lỗi yêu cầu nhập đúng trường bị bỏ trống; không tạo tài khoản</t>
  </si>
  <si>
    <t>Kỹ thuật: bảng quyết định. Nếu trường Email không bắt buộc thì ghi lại hành vi thực tế</t>
  </si>
  <si>
    <t>Đăng ký với SĐT sai định dạng</t>
  </si>
  <si>
    <t>Pre-condition:
+ Chưa đăng nhập; đang ở trang chủ https://cellphones.com.vn
Test data:
- SĐT 1: 0912 (thiếu số)
- SĐT 2: abc0912345 (chứa chữ)
- SĐT 3: 09123456789012 (quá dài)
- SĐT 4: 1912345678 (không bắt đầu bằng 0)
- Các trường khác hợp lệ (HOTEN, EMAIL_CHUA_DK, MK_DK)
Step:
1. Bấm [Đăng nhập] trên header, sau đó bấm [Đăng ký ngay] để mở form đăng ký
2. Lần lượt nhập từng SĐT sai định dạng cùng các trường khác hợp lệ
3. Tích chọn đồng ý điều khoản và bấm [Đăng ký] sau mỗi lần nhập</t>
  </si>
  <si>
    <t>3. Với mỗi giá trị: báo SĐT không hợp lệ (hoặc không cho nhập ký tự không phải số); không tạo tài khoản</t>
  </si>
  <si>
    <t>Kỹ thuật: phân vùng tương đương, giá trị biên về độ dài SĐT</t>
  </si>
  <si>
    <t>Đăng ký với SĐT đã có tài khoản</t>
  </si>
  <si>
    <t>Pre-condition:
+ Chưa đăng nhập; đang ở trang chủ https://cellphones.com.vn
+ Có tài khoản test SDT_DA_DK (xem mục Test data ở sheet Test case List)
Test data:
- SĐT: SDT_DA_DK
- Các trường khác hợp lệ (HOTEN, EMAIL_CHUA_DK, MK_DK)
Step:
1. Bấm [Đăng nhập] trên header, sau đó bấm [Đăng ký ngay] để mở form đăng ký
2. Nhập SĐT đã đăng ký và các trường khác hợp lệ
3. Tích chọn đồng ý điều khoản và bấm [Đăng ký]</t>
  </si>
  <si>
    <t>3. Hiển thị thông báo SĐT đã được đăng ký; không tạo tài khoản mới</t>
  </si>
  <si>
    <t>Kỹ thuật: bảng quyết định. Nếu web dùng thông báo chung thì vẫn Passed khi không tạo tài khoản mới</t>
  </si>
  <si>
    <t>Đăng ký với email sai định dạng</t>
  </si>
  <si>
    <t>Pre-condition:
+ Chưa đăng nhập; đang ở trang chủ https://cellphones.com.vn
Test data:
- Email 1: abc.gmail.com (thiếu @)
- Email 2: abc@ (thiếu tên miền)
- Email 3: abc@@gmail.com (hai ký tự @)
- Email 4: abc @gmail.com (có khoảng trắng)
- Các trường khác hợp lệ (HOTEN, SDT_CHUA_DK, MK_DK)
Step:
1. Bấm [Đăng nhập] trên header, sau đó bấm [Đăng ký ngay] để mở form đăng ký
2. Lần lượt nhập từng email sai định dạng cùng các trường khác hợp lệ
3. Tích chọn đồng ý điều khoản và bấm [Đăng ký] sau mỗi lần nhập</t>
  </si>
  <si>
    <t>3. Với mỗi giá trị: báo email không hợp lệ; không tạo tài khoản</t>
  </si>
  <si>
    <t>Kỹ thuật: phân vùng tương đương</t>
  </si>
  <si>
    <t>Đăng ký với email đã có tài khoản</t>
  </si>
  <si>
    <t>Pre-condition:
+ Chưa đăng nhập; đang ở trang chủ https://cellphones.com.vn
+ Có tài khoản test SDT_DA_DK đã gắn với email EMAIL_DA_DK (xem mục Test data ở sheet Test case List)
Test data:
- Email: EMAIL_DA_DK
- Các trường khác hợp lệ (HOTEN, SDT_CHUA_DK, MK_DK)
Step:
1. Bấm [Đăng nhập] trên header, sau đó bấm [Đăng ký ngay] để mở form đăng ký
2. Nhập email đã đăng ký và các trường khác hợp lệ
3. Tích chọn đồng ý điều khoản và bấm [Đăng ký]</t>
  </si>
  <si>
    <t>3. Hiển thị thông báo email đã được sử dụng; không tạo tài khoản mới</t>
  </si>
  <si>
    <t>Kỹ thuật: bảng quyết định</t>
  </si>
  <si>
    <t>Đăng ký với mật khẩu không đạt yêu cầu</t>
  </si>
  <si>
    <t>Pre-condition:
+ Chưa đăng nhập; đang ở trang chủ https://cellphones.com.vn
Test data:
- Mật khẩu 1: Ab@1 (quá ngắn)
- Mật khẩu 2: abcdefgh (không có chữ hoa, số, ký tự đặc biệt)
- Mật khẩu 3: 12345678 (chỉ gồm số)
- Các trường khác hợp lệ (HOTEN, SDT_CHUA_DK, EMAIL_CHUA_DK)
Step:
1. Bấm [Đăng nhập] trên header, sau đó bấm [Đăng ký ngay] để mở form đăng ký
2. Lần lượt nhập từng mật khẩu (và nhập lại giống hệt ở ô xác nhận)
3. Tích chọn đồng ý điều khoản và bấm [Đăng ký] sau mỗi lần nhập</t>
  </si>
  <si>
    <t>3. Với mỗi giá trị: báo mật khẩu không đạt yêu cầu (độ dài tối thiểu/định dạng); không tạo tài khoản</t>
  </si>
  <si>
    <t>Quy tắc mật khẩu thực tế cần xác minh; nên thử thêm giá trị biên của độ dài tối thiểu</t>
  </si>
  <si>
    <t>Đăng ký khi mật khẩu xác nhận không khớp</t>
  </si>
  <si>
    <t>Pre-condition:
+ Chưa đăng nhập; đang ở trang chủ https://cellphones.com.vn
Test data:
- Mật khẩu: MK_DK (Test@1234)
- Nhập lại mật khẩu: Test@4321
- Các trường khác hợp lệ (HOTEN, SDT_CHUA_DK, EMAIL_CHUA_DK)
Step:
1. Bấm [Đăng nhập] trên header, sau đó bấm [Đăng ký ngay] để mở form đăng ký
2. Nhập các trường hợp lệ, nhập mật khẩu khác nhau ở hai ô mật khẩu
3. Tích chọn đồng ý điều khoản và bấm [Đăng ký]</t>
  </si>
  <si>
    <t>3. Hiển thị thông báo mật khẩu xác nhận không khớp; không tạo tài khoản</t>
  </si>
  <si>
    <t>Chỉ áp dụng nếu form có ô nhập lại mật khẩu; nếu không có thì đặt Skipped</t>
  </si>
  <si>
    <t>Đăng ký khi không tích đồng ý điều khoản</t>
  </si>
  <si>
    <t>Pre-condition:
+ Chưa đăng nhập; đang ở trang chủ https://cellphones.com.vn
Test data:
- Tất cả trường hợp lệ (HOTEN, SDT_CHUA_DK, EMAIL_CHUA_DK, MK_DK)
Step:
1. Bấm [Đăng nhập] trên header, sau đó bấm [Đăng ký ngay] để mở form đăng ký
2. Nhập tất cả trường hợp lệ
3. Không tích chọn đồng ý điều khoản
4. Bấm [Đăng ký]</t>
  </si>
  <si>
    <t>4. Không đăng ký được; hiển thị thông báo yêu cầu đồng ý điều khoản (hoặc nút [Đăng ký] bị vô hiệu); không tạo tài khoản</t>
  </si>
  <si>
    <t>Đăng ký với họ tên không hợp lệ</t>
  </si>
  <si>
    <t>Pre-condition:
+ Chưa đăng nhập; đang ở trang chủ https://cellphones.com.vn
Test data:
- Họ tên 1: 1234567 (chỉ gồm số)
- Họ tên 2: @#$%^&amp;* (ký tự đặc biệt)
- Họ tên 3: chuỗi 101 ký tự 'A' (quá dài)
- Các trường khác hợp lệ (SDT_CHUA_DK, EMAIL_CHUA_DK, MK_DK)
Step:
1. Bấm [Đăng nhập] trên header, sau đó bấm [Đăng ký ngay] để mở form đăng ký
2. Lần lượt nhập từng họ tên không hợp lệ cùng các trường khác hợp lệ
3. Tích chọn đồng ý điều khoản và bấm [Đăng ký] sau mỗi lần nhập</t>
  </si>
  <si>
    <t>3. Với mỗi giá trị: báo họ tên không hợp lệ hoặc vượt giới hạn độ dài; không tạo tài khoản</t>
  </si>
  <si>
    <t>Kỹ thuật: phân vùng tương đương, giá trị biên. Quy tắc họ tên thực tế cần xác minh; nếu web chấp nhận thì ghi lại hành vi thực tế</t>
  </si>
  <si>
    <t>Đăng ký khi dữ liệu có khoảng trắng đầu/cuối</t>
  </si>
  <si>
    <t>Pre-condition:
+ Chưa đăng nhập; đang ở trang chủ https://cellphones.com.vn
Test data:
- Họ tên: '  Nguyen Van Test  '
- SĐT: ' SDT_CHUA_DK ' (có khoảng trắng đầu và cuối)
- Email: ' EMAIL_CHUA_DK ' (có khoảng trắng đầu và cuối)
- Mật khẩu: MK_DK
Step:
1. Bấm [Đăng nhập] trên header, sau đó bấm [Đăng ký ngay] để mở form đăng ký
2. Nhập các trường có khoảng trắng thừa ở đầu và cuối
3. Tích chọn đồng ý điều khoản và bấm [Đăng ký]</t>
  </si>
  <si>
    <t>3. Khoảng trắng thừa được loại bỏ, hoặc hệ thống báo trường không hợp lệ; không xảy ra lỗi hệ thống</t>
  </si>
  <si>
    <t>Hành vi chưa xác minh trên web thật. Nếu đăng ký thành công thì SĐT/email đã bị dùng, đổi dữ liệu trước lần chạy sau</t>
  </si>
  <si>
    <t>Bảo mật: chèn script (XSS) và SQL injection vào form đăng ký</t>
  </si>
  <si>
    <t>Pre-condition:
+ Chưa đăng nhập; đang ở trang chủ https://cellphones.com.vn
Test data:
- Họ tên: &lt;script&gt;alert(1)&lt;/script&gt;
- Email: ' OR '1'='1
- SĐT: SDT_CHUA_DK
- Mật khẩu: MK_DK
Step:
1. Bấm [Đăng nhập] trên header, sau đó bấm [Đăng ký ngay] để mở form đăng ký
2. Nhập dữ liệu chèn mã vào ô Họ tên và ô Email, các trường khác hợp lệ
3. Tích chọn đồng ý điều khoản và bấm [Đăng ký]</t>
  </si>
  <si>
    <t>3. Không xuất hiện hộp thoại alert, script không được thực thi; báo dữ liệu không hợp lệ; không tạo tài khoản; không lộ lỗi hệ thống (SQL error, stack trace)</t>
  </si>
  <si>
    <t>Kiểm thử bảo mật cơ bản, chỉ nhập vào form đăng ký thông thường</t>
  </si>
  <si>
    <t>Đăng nhập thành công với SĐT và mật khẩu hợp lệ</t>
  </si>
  <si>
    <t>Pre-condition:
+ Chưa đăng nhập; đang ở trang chủ https://cellphones.com.vn
+ Có tài khoản test SDT_DA_DK / MK_DUNG (xem mục Test data ở sheet Test case List)
Test data:
- SĐT: SDT_DA_DK
- Mật khẩu: MK_DUNG
Step:
1. Bấm [Đăng nhập] trên header để mở form đăng nhập
2. Nhập SĐT hợp lệ vào ô SĐT
3. Nhập mật khẩu đúng vào ô Mật khẩu
4. Bấm [Đăng nhập]</t>
  </si>
  <si>
    <t>1. Form đăng nhập hiển thị gồm ô SĐT, ô Mật khẩu và nút [Đăng nhập]
4. Đăng nhập thành công, form đóng lại; header hiển thị tên tài khoản thay cho nút [Đăng nhập]</t>
  </si>
  <si>
    <t>Vị trí/nhãn nút cần đối chiếu web thật khi chạy test</t>
  </si>
  <si>
    <t>Đăng nhập với SĐT đúng, mật khẩu sai</t>
  </si>
  <si>
    <t>Pre-condition:
+ Chưa đăng nhập; đang ở trang chủ https://cellphones.com.vn
+ Có tài khoản test SDT_DA_DK / MK_DUNG (xem mục Test data ở sheet Test case List)
Test data:
- SĐT: SDT_DA_DK
- Mật khẩu: MK_SAI (Sai@9999)
Step:
1. Mở form đăng nhập
2. Nhập SĐT đã đăng ký
3. Nhập mật khẩu sai
4. Bấm [Đăng nhập]</t>
  </si>
  <si>
    <t>4. Hiển thị thông báo sai thông tin đăng nhập; không đăng nhập; vẫn ở trạng thái chưa đăng nhập</t>
  </si>
  <si>
    <t>Đối chiếu nội dung thông báo lỗi thực tế</t>
  </si>
  <si>
    <t>Đăng nhập với SĐT chưa đăng ký</t>
  </si>
  <si>
    <t>Pre-condition:
+ Chưa đăng nhập; đang ở trang chủ https://cellphones.com.vn
+ Có tài khoản test SDT_DA_DK / MK_DUNG (xem mục Test data ở sheet Test case List)
Test data:
- SĐT: SDT_CHUA_DK
- Mật khẩu: MK_DUNG
Step:
1. Mở form đăng nhập
2. Nhập SĐT chưa có tài khoản
3. Nhập mật khẩu bất kỳ
4. Bấm [Đăng nhập]</t>
  </si>
  <si>
    <t>4. Hiển thị thông báo tài khoản không tồn tại (hoặc sai thông tin đăng nhập); không đăng nhập</t>
  </si>
  <si>
    <t>Nếu web dùng chung 1 thông báo cho sai SĐT và sai mật khẩu (tránh lộ tài khoản) thì vẫn Passed</t>
  </si>
  <si>
    <t>Đăng nhập khi để trống cả SĐT và mật khẩu</t>
  </si>
  <si>
    <t>Pre-condition:
+ Chưa đăng nhập; đang ở trang chủ https://cellphones.com.vn
Step:
1. Mở form đăng nhập
2. Để trống ô SĐT và ô Mật khẩu
3. Bấm [Đăng nhập]</t>
  </si>
  <si>
    <t>3. Hiển thị thông báo yêu cầu nhập SĐT và mật khẩu; không gửi yêu cầu đăng nhập</t>
  </si>
  <si>
    <t>Đăng nhập khi chỉ bỏ trống một trường (SĐT hoặc mật khẩu)</t>
  </si>
  <si>
    <t>Pre-condition:
+ Chưa đăng nhập; đang ở trang chủ https://cellphones.com.vn
+ Có tài khoản test SDT_DA_DK / MK_DUNG (xem mục Test data ở sheet Test case List)
Test data:
- Lần 1: SĐT để trống; Mật khẩu: MK_DUNG
- Lần 2: SĐT: SDT_DA_DK; Mật khẩu để trống
Step:
1. Mở form đăng nhập
2. Lần 1: để trống ô SĐT, nhập mật khẩu, bấm [Đăng nhập]
3. Làm mới form. Lần 2: nhập SĐT, để trống mật khẩu, bấm [Đăng nhập]</t>
  </si>
  <si>
    <t>2. Báo lỗi yêu cầu nhập SĐT; không đăng nhập
3. Báo lỗi yêu cầu nhập mật khẩu; không đăng nhập</t>
  </si>
  <si>
    <t>Đăng nhập với SĐT sai định dạng</t>
  </si>
  <si>
    <t>Pre-condition:
+ Chưa đăng nhập; đang ở trang chủ https://cellphones.com.vn
+ Có tài khoản test SDT_DA_DK / MK_DUNG (xem mục Test data ở sheet Test case List)
Test data:
- SĐT 1: 0912 (thiếu số)
- SĐT 2: abc0912345 (chứa chữ)
- SĐT 3: 09123456789012 (quá dài)
- Mật khẩu: MK_DUNG
Step:
1. Mở form đăng nhập
2. Lần lượt nhập từng SĐT sai định dạng cùng mật khẩu MK_DUNG
3. Bấm [Đăng nhập] sau mỗi lần nhập</t>
  </si>
  <si>
    <t>3. Với mỗi giá trị: báo SĐT không hợp lệ (hoặc không cho nhập ký tự không phải số); không đăng nhập</t>
  </si>
  <si>
    <t>Đăng nhập khi SĐT có khoảng trắng đầu/cuối</t>
  </si>
  <si>
    <t>Pre-condition:
+ Chưa đăng nhập; đang ở trang chủ https://cellphones.com.vn
+ Có tài khoản test SDT_DA_DK / MK_DUNG (xem mục Test data ở sheet Test case List)
Test data:
- SĐT: ' 0912345678 ' (SDT_DA_DK có khoảng trắng đầu và cuối)
- Mật khẩu: MK_DUNG
Step:
1. Mở form đăng nhập
2. Nhập SĐT có khoảng trắng thừa ở đầu và cuối
3. Nhập mật khẩu đúng
4. Bấm [Đăng nhập]</t>
  </si>
  <si>
    <t>4. Khoảng trắng thừa được loại bỏ và đăng nhập thành công</t>
  </si>
  <si>
    <t>Hành vi chưa xác minh trên web thật; nếu web báo lỗi định dạng thì ghi lại khi chạy</t>
  </si>
  <si>
    <t>Mật khẩu phân biệt chữ hoa/chữ thường</t>
  </si>
  <si>
    <t>Pre-condition:
+ Chưa đăng nhập; đang ở trang chủ https://cellphones.com.vn
+ Có tài khoản test SDT_DA_DK / MK_DUNG (xem mục Test data ở sheet Test case List)
Test data:
- SĐT: SDT_DA_DK
- Mật khẩu: MK_DUNG đổi kiểu chữ (vd: Test@1234 thành test@1234)
Step:
1. Mở form đăng nhập
2. Nhập SĐT đã đăng ký
3. Nhập mật khẩu đúng ký tự nhưng sai chữ hoa/thường
4. Bấm [Đăng nhập]</t>
  </si>
  <si>
    <t>4. Đăng nhập thất bại; hiển thị thông báo sai thông tin đăng nhập</t>
  </si>
  <si>
    <t>Giả định mật khẩu phân biệt hoa/thường (thông lệ chung)</t>
  </si>
  <si>
    <t>Ẩn/hiện mật khẩu bằng biểu tượng con mắt</t>
  </si>
  <si>
    <t>Pre-condition:
+ Chưa đăng nhập; đang ở trang chủ https://cellphones.com.vn
Test data:
- Mật khẩu: MK_DUNG
Step:
1. Mở form đăng nhập
2. Nhập mật khẩu vào ô Mật khẩu
3. Bấm biểu tượng hiện/ẩn mật khẩu
4. Bấm biểu tượng thêm một lần nữa</t>
  </si>
  <si>
    <t>2. Mật khẩu hiển thị dạng dấu chấm
3. Mật khẩu hiển thị dạng ký tự rõ
4. Mật khẩu trở lại dạng dấu chấm</t>
  </si>
  <si>
    <t>Chỉ áp dụng nếu form có biểu tượng hiện/ẩn; nếu không có thì đặt Skipped</t>
  </si>
  <si>
    <t>Đăng nhập sai mật khẩu nhiều lần liên tiếp</t>
  </si>
  <si>
    <t>Pre-condition:
+ Chưa đăng nhập; đang ở trang chủ https://cellphones.com.vn
+ Có tài khoản test SDT_DA_DK / MK_DUNG (xem mục Test data ở sheet Test case List)
Test data:
- SĐT: SDT_DA_DK
- Mật khẩu: MK_SAI (5 lần liên tiếp), sau đó MK_DUNG
Step:
1. Mở form đăng nhập
2. Đăng nhập với MK_SAI, lặp lại 5 lần liên tiếp
3. Đăng nhập tiếp với mật khẩu đúng MK_DUNG</t>
  </si>
  <si>
    <t>2. Mỗi lần báo sai thông tin; sau số lần quy định hệ thống hiển thị captcha / giới hạn thử / khóa tạm thời (ghi lại ngưỡng thực tế)
3. Nếu đang bị khóa/yêu cầu captcha: không đăng nhập được cho đến khi hết thời gian khóa hoặc qua captcha</t>
  </si>
  <si>
    <t>Có thể khóa tạm tài khoản test. Nếu web không giới hạn số lần thử thì ghi nhận là rủi ro bảo mật</t>
  </si>
  <si>
    <t>Bảo mật: chèn SQL injection vào ô đăng nhập</t>
  </si>
  <si>
    <t>Pre-condition:
+ Chưa đăng nhập; đang ở trang chủ https://cellphones.com.vn
Test data:
- SĐT: ' OR '1'='1
- Mật khẩu: ' OR '1'='1
Step:
1. Mở form đăng nhập
2. Nhập chuỗi SQL injection vào ô SĐT và ô Mật khẩu
3. Bấm [Đăng nhập]</t>
  </si>
  <si>
    <t>3. Không đăng nhập được; hiển thị thông báo SĐT không hợp lệ/sai thông tin; không lộ lỗi hệ thống (SQL error, stack trace)</t>
  </si>
  <si>
    <t>Kiểm thử bảo mật cơ bản, chỉ nhập vào form đăng nhập thông thường</t>
  </si>
  <si>
    <t>Bảo mật: chèn mã script (XSS) vào ô đăng nhập</t>
  </si>
  <si>
    <t>Pre-condition:
+ Chưa đăng nhập; đang ở trang chủ https://cellphones.com.vn
Test data:
- SĐT: &lt;script&gt;alert(1)&lt;/script&gt;
- Mật khẩu: MK_DUNG
Step:
1. Mở form đăng nhập
2. Nhập thẻ script vào ô SĐT, nhập mật khẩu
3. Bấm [Đăng nhập]</t>
  </si>
  <si>
    <t>3. Không xuất hiện hộp thoại alert, script không được thực thi; báo SĐT không hợp lệ; không đăng nhập</t>
  </si>
  <si>
    <t>Giữ phiên đăng nhập sau khi tải lại trang / mở lại tab</t>
  </si>
  <si>
    <t>Pre-condition:
+ Đã đăng nhập thành công (xem [AUTH-16])
Step:
1. Nhấn F5 để tải lại trang
2. Đóng tab, mở lại https://cellphones.com.vn trong cùng trình duyệt</t>
  </si>
  <si>
    <t>1. Vẫn ở trạng thái đã đăng nhập
2. Vẫn ở trạng thái đã đăng nhập (nếu phiên còn hiệu lực)</t>
  </si>
  <si>
    <t>[AUTH-16]</t>
  </si>
  <si>
    <t>Thời hạn phiên đăng nhập thực tế cần xác minh</t>
  </si>
  <si>
    <t>Đăng xuất thành công</t>
  </si>
  <si>
    <t>Pre-condition:
+ Đã đăng nhập thành công (xem [AUTH-16])
Step:
1. Bấm vào tên tài khoản trên header (hoặc mở menu tài khoản)
2. Bấm [Đăng xuất]</t>
  </si>
  <si>
    <t>1. Menu tài khoản hiển thị có mục [Đăng xuất]
2. Đăng xuất thành công; header hiển thị lại nút [Đăng nhập]; thông tin tài khoản không còn hiển thị</t>
  </si>
  <si>
    <t>Bấm Back của trình duyệt sau khi đăng xuất</t>
  </si>
  <si>
    <t>Pre-condition:
+ Vừa đăng xuất thành công (xem [AUTH-29])
Step:
1. Bấm nút Back của trình duyệt (nhiều lần)
2. Truy cập trực tiếp trang thông tin tài khoản bằng URL/menu</t>
  </si>
  <si>
    <t>1. Không hiển thị lại thông tin tài khoản của người dùng đã đăng xuất
2. Hệ thống yêu cầu đăng nhập (hoặc chuyển về trang chủ/đăng nhập)</t>
  </si>
  <si>
    <t>[AUTH-29]</t>
  </si>
  <si>
    <t>Kiểm tra cache trang sau khi đăng xuất</t>
  </si>
  <si>
    <t>TEST REPORT</t>
  </si>
  <si>
    <t>Notes</t>
  </si>
  <si>
    <t>Release 1 gồm module Auth (Đăng ký / Đăng nhập / Đăng xuất). Chưa chạy test.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</si>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</sst>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d\-mmm\-yy"/>
    <numFmt numFmtId="165" formatCode="d\-mmm\-yy"/>
    <numFmt numFmtId="166" formatCode="dd\-mmm\-yy"/>
    <numFmt numFmtId="167" formatCode="dd/mm/yyyy"/>
    <numFmt numFmtId="168" formatCode="0.0"/>
  </numFmts>
  <fonts count="22">
    <font>
      <sz val="11.0"/>
      <color rgb="FF000000"/>
      <name val="Calibri"/>
      <scheme val="minor"/>
    </font>
    <font>
      <sz val="10.0"/>
      <color theme="1"/>
      <name val="Tahoma"/>
    </font>
    <font>
      <sz val="10.0"/>
      <color rgb="FF000000"/>
      <name val="Tahoma"/>
    </font>
    <font>
      <b/>
      <sz val="10.0"/>
      <color theme="1"/>
      <name val="Arial"/>
    </font>
    <font>
      <b/>
      <sz val="10.0"/>
      <color theme="1"/>
      <name val="Calibri"/>
    </font>
    <font>
      <b/>
      <sz val="22.0"/>
      <color rgb="FFFF0000"/>
      <name val="Tahoma"/>
    </font>
    <font>
      <b/>
      <sz val="20.0"/>
      <color rgb="FF000000"/>
      <name val="Tahoma"/>
    </font>
    <font>
      <b/>
      <sz val="10.0"/>
      <color theme="1"/>
      <name val="Tahoma"/>
    </font>
    <font>
      <b/>
      <sz val="10.0"/>
      <color rgb="FF000000"/>
      <name val="Tahoma"/>
    </font>
    <font>
      <sz val="10.0"/>
      <color rgb="FFFF0000"/>
      <name val="Tahoma"/>
    </font>
    <font>
      <sz val="10.0"/>
      <color theme="1"/>
      <name val="Arial"/>
    </font>
    <font>
      <b/>
      <sz val="10.0"/>
      <color rgb="FFFF0000"/>
      <name val="Tahoma"/>
    </font>
    <font/>
    <font>
      <sz val="11.0"/>
      <color rgb="FF000000"/>
      <name val="Calibri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i/>
      <sz val="9.0"/>
      <color rgb="FF7F7F7F"/>
      <name val="Tahoma"/>
    </font>
    <font>
      <u/>
      <sz val="10.0"/>
      <color rgb="FF0000FF"/>
      <name val="Tahoma"/>
    </font>
    <font>
      <sz val="10.0"/>
      <color theme="1"/>
      <name val="Calibri"/>
    </font>
    <font>
      <sz val="10.0"/>
      <color rgb="FFFFFFFF"/>
      <name val="Tahoma"/>
    </font>
    <font>
      <b/>
      <sz val="10.0"/>
      <color rgb="FF0000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</fills>
  <borders count="47">
    <border/>
    <border>
      <left/>
      <right/>
      <top/>
      <bottom/>
    </border>
    <border>
      <left/>
      <right/>
      <top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3" fillId="3" fontId="3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shrinkToFit="0" vertical="bottom" wrapText="1"/>
    </xf>
    <xf borderId="1" fillId="2" fontId="1" numFmtId="1" xfId="0" applyAlignment="1" applyBorder="1" applyFill="1" applyFont="1" applyNumberFormat="1">
      <alignment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horizontal="center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1" fillId="2" fontId="7" numFmtId="0" xfId="0" applyAlignment="1" applyBorder="1" applyFill="1" applyFont="1">
      <alignment shrinkToFit="0" vertical="bottom" wrapText="1"/>
    </xf>
    <xf borderId="1" fillId="2" fontId="6" numFmtId="0" xfId="0" applyAlignment="1" applyBorder="1" applyFill="1" applyFont="1">
      <alignment horizontal="left" shrinkToFit="0" vertical="bottom" wrapText="0"/>
    </xf>
    <xf borderId="1" fillId="2" fontId="8" numFmtId="0" xfId="0" applyAlignment="1" applyBorder="1" applyFill="1" applyFont="1">
      <alignment horizontal="left" shrinkToFit="0" vertical="bottom" wrapText="0"/>
    </xf>
    <xf borderId="1" fillId="2" fontId="9" numFmtId="0" xfId="0" applyAlignment="1" applyBorder="1" applyFill="1" applyFont="1">
      <alignment shrinkToFit="0" vertical="bottom" wrapText="1"/>
    </xf>
    <xf borderId="1" fillId="2" fontId="2" numFmtId="0" xfId="0" applyAlignment="1" applyBorder="1" applyFill="1" applyFont="1">
      <alignment shrinkToFit="0" vertical="bottom" wrapText="0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center" shrinkToFit="0" vertical="center" wrapText="0"/>
    </xf>
    <xf borderId="3" fillId="0" fontId="10" numFmtId="0" xfId="0" applyAlignment="1" applyBorder="1" applyFont="1">
      <alignment shrinkToFit="0" vertical="center" wrapText="1"/>
    </xf>
    <xf borderId="1" fillId="2" fontId="11" numFmtId="0" xfId="0" applyAlignment="1" applyBorder="1" applyFill="1" applyFont="1">
      <alignment horizontal="left" shrinkToFit="0" vertical="bottom" wrapText="0"/>
    </xf>
    <xf borderId="7" fillId="0" fontId="12" numFmtId="0" xfId="0" applyBorder="1" applyFont="1"/>
    <xf borderId="6" fillId="2" fontId="7" numFmtId="0" xfId="0" applyAlignment="1" applyBorder="1" applyFill="1" applyFont="1">
      <alignment horizontal="left" shrinkToFit="0" vertical="bottom" wrapText="1"/>
    </xf>
    <xf borderId="3" fillId="0" fontId="10" numFmtId="0" xfId="0" applyAlignment="1" applyBorder="1" applyFont="1">
      <alignment horizontal="left" shrinkToFit="0" vertical="center" wrapText="1"/>
    </xf>
    <xf borderId="8" fillId="0" fontId="12" numFmtId="0" xfId="0" applyBorder="1" applyFont="1"/>
    <xf borderId="0" fillId="0" fontId="13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5" fillId="2" fontId="14" numFmtId="1" xfId="0" applyAlignment="1" applyBorder="1" applyFill="1" applyFont="1" applyNumberFormat="1">
      <alignment shrinkToFit="0" vertical="bottom" wrapText="0"/>
    </xf>
    <xf borderId="5" fillId="2" fontId="15" numFmtId="0" xfId="0" applyAlignment="1" applyBorder="1" applyFill="1" applyFont="1">
      <alignment horizontal="left" shrinkToFit="0" vertical="center" wrapText="1"/>
    </xf>
    <xf borderId="9" fillId="0" fontId="12" numFmtId="0" xfId="0" applyBorder="1" applyFont="1"/>
    <xf borderId="1" fillId="2" fontId="14" numFmtId="0" xfId="0" applyAlignment="1" applyBorder="1" applyFill="1" applyFont="1">
      <alignment horizontal="left" shrinkToFit="0" vertical="bottom" wrapText="0"/>
    </xf>
    <xf borderId="0" fillId="0" fontId="15" numFmtId="0" xfId="0" applyAlignment="1" applyFont="1">
      <alignment horizontal="left" shrinkToFit="0" vertical="bottom" wrapText="0"/>
    </xf>
    <xf borderId="10" fillId="2" fontId="7" numFmtId="0" xfId="0" applyAlignment="1" applyBorder="1" applyFill="1" applyFont="1">
      <alignment horizontal="left" shrinkToFit="0" vertical="bottom" wrapText="1"/>
    </xf>
    <xf borderId="11" fillId="2" fontId="14" numFmtId="0" xfId="0" applyAlignment="1" applyBorder="1" applyFill="1" applyFont="1">
      <alignment horizontal="left" shrinkToFit="0" vertical="bottom" wrapText="0"/>
    </xf>
    <xf borderId="5" fillId="0" fontId="15" numFmtId="0" xfId="0" applyAlignment="1" applyBorder="1" applyFont="1">
      <alignment horizontal="left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5" fillId="2" fontId="15" numFmtId="0" xfId="0" applyAlignment="1" applyBorder="1" applyFill="1" applyFont="1">
      <alignment horizontal="left" readingOrder="0" shrinkToFit="0" vertical="center" wrapText="1"/>
    </xf>
    <xf borderId="10" fillId="2" fontId="8" numFmtId="0" xfId="0" applyAlignment="1" applyBorder="1" applyFill="1" applyFont="1">
      <alignment horizontal="center" shrinkToFit="0" vertical="center" wrapText="0"/>
    </xf>
    <xf borderId="11" fillId="2" fontId="8" numFmtId="0" xfId="0" applyAlignment="1" applyBorder="1" applyFill="1" applyFont="1">
      <alignment horizontal="center" shrinkToFit="0" vertical="center" wrapText="1"/>
    </xf>
    <xf borderId="5" fillId="2" fontId="15" numFmtId="0" xfId="0" applyAlignment="1" applyBorder="1" applyFill="1" applyFont="1">
      <alignment horizontal="left" shrinkToFit="0" vertical="bottom" wrapText="0"/>
    </xf>
    <xf borderId="11" fillId="2" fontId="8" numFmtId="0" xfId="0" applyAlignment="1" applyBorder="1" applyFill="1" applyFont="1">
      <alignment shrinkToFit="0" vertical="center" wrapText="1"/>
    </xf>
    <xf borderId="12" fillId="2" fontId="14" numFmtId="0" xfId="0" applyAlignment="1" applyBorder="1" applyFill="1" applyFont="1">
      <alignment horizontal="left" shrinkToFit="0" vertical="center" wrapText="0"/>
    </xf>
    <xf borderId="5" fillId="2" fontId="8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vertical="bottom" wrapText="1"/>
    </xf>
    <xf borderId="13" fillId="0" fontId="15" numFmtId="0" xfId="0" applyAlignment="1" applyBorder="1" applyFont="1">
      <alignment horizontal="left" shrinkToFit="0" vertical="center" wrapText="0"/>
    </xf>
    <xf borderId="14" fillId="0" fontId="12" numFmtId="0" xfId="0" applyBorder="1" applyFont="1"/>
    <xf borderId="15" fillId="0" fontId="12" numFmtId="0" xfId="0" applyBorder="1" applyFont="1"/>
    <xf borderId="16" fillId="2" fontId="2" numFmtId="0" xfId="0" applyAlignment="1" applyBorder="1" applyFill="1" applyFont="1">
      <alignment horizontal="center" shrinkToFit="0" vertical="center" wrapText="0"/>
    </xf>
    <xf borderId="8" fillId="0" fontId="15" numFmtId="164" xfId="0" applyAlignment="1" applyBorder="1" applyFont="1" applyNumberFormat="1">
      <alignment horizontal="left" shrinkToFit="0" vertical="bottom" wrapText="0"/>
    </xf>
    <xf borderId="5" fillId="2" fontId="14" numFmtId="1" xfId="0" applyAlignment="1" applyBorder="1" applyFill="1" applyFont="1" applyNumberFormat="1">
      <alignment shrinkToFit="0" vertical="center" wrapText="1"/>
    </xf>
    <xf borderId="17" fillId="0" fontId="12" numFmtId="0" xfId="0" applyBorder="1" applyFont="1"/>
    <xf borderId="18" fillId="0" fontId="12" numFmtId="0" xfId="0" applyBorder="1" applyFont="1"/>
    <xf borderId="19" fillId="0" fontId="12" numFmtId="0" xfId="0" applyBorder="1" applyFont="1"/>
    <xf borderId="20" fillId="0" fontId="12" numFmtId="0" xfId="0" applyBorder="1" applyFont="1"/>
    <xf borderId="5" fillId="2" fontId="15" numFmtId="0" xfId="0" applyAlignment="1" applyBorder="1" applyFill="1" applyFont="1">
      <alignment shrinkToFit="0" vertical="top" wrapText="1"/>
    </xf>
    <xf borderId="11" fillId="2" fontId="2" numFmtId="0" xfId="0" applyAlignment="1" applyBorder="1" applyFill="1" applyFont="1">
      <alignment horizontal="center" shrinkToFit="0" vertical="center" wrapText="0"/>
    </xf>
    <xf borderId="8" fillId="0" fontId="15" numFmtId="0" xfId="0" applyAlignment="1" applyBorder="1" applyFont="1">
      <alignment horizontal="left" readingOrder="0" shrinkToFit="0" vertical="bottom" wrapText="0"/>
    </xf>
    <xf borderId="1" fillId="2" fontId="14" numFmtId="1" xfId="0" applyAlignment="1" applyBorder="1" applyFill="1" applyFont="1" applyNumberFormat="1">
      <alignment shrinkToFit="0" vertical="bottom" wrapText="0"/>
    </xf>
    <xf borderId="1" fillId="2" fontId="14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1" numFmtId="1" xfId="0" applyAlignment="1" applyBorder="1" applyFill="1" applyFont="1" applyNumberFormat="1">
      <alignment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0" fillId="0" fontId="14" numFmtId="0" xfId="0" applyAlignment="1" applyFont="1">
      <alignment horizontal="left" shrinkToFit="0" vertical="bottom" wrapText="0"/>
    </xf>
    <xf borderId="11" fillId="2" fontId="2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1" fillId="2" fontId="7" numFmtId="0" xfId="0" applyAlignment="1" applyBorder="1" applyFill="1" applyFont="1">
      <alignment horizontal="center" shrinkToFit="0" vertical="bottom" wrapText="0"/>
    </xf>
    <xf borderId="21" fillId="4" fontId="16" numFmtId="165" xfId="0" applyAlignment="1" applyBorder="1" applyFill="1" applyFont="1" applyNumberFormat="1">
      <alignment horizontal="center" shrinkToFit="0" vertical="center" wrapText="0"/>
    </xf>
    <xf borderId="21" fillId="5" fontId="16" numFmtId="1" xfId="0" applyAlignment="1" applyBorder="1" applyFill="1" applyFont="1" applyNumberFormat="1">
      <alignment horizontal="center" shrinkToFit="0" vertical="center" wrapText="0"/>
    </xf>
    <xf borderId="22" fillId="5" fontId="16" numFmtId="0" xfId="0" applyAlignment="1" applyBorder="1" applyFill="1" applyFont="1">
      <alignment horizontal="center" shrinkToFit="0" vertical="center" wrapText="0"/>
    </xf>
    <xf borderId="22" fillId="4" fontId="16" numFmtId="0" xfId="0" applyAlignment="1" applyBorder="1" applyFill="1" applyFont="1">
      <alignment horizontal="center" shrinkToFit="0" vertical="center" wrapText="0"/>
    </xf>
    <xf borderId="23" fillId="5" fontId="16" numFmtId="0" xfId="0" applyAlignment="1" applyBorder="1" applyFill="1" applyFont="1">
      <alignment horizontal="center" shrinkToFit="0" vertical="center" wrapText="0"/>
    </xf>
    <xf borderId="5" fillId="2" fontId="2" numFmtId="0" xfId="0" applyAlignment="1" applyBorder="1" applyFill="1" applyFont="1">
      <alignment horizontal="center" shrinkToFit="0" vertical="center" wrapText="1"/>
    </xf>
    <xf borderId="24" fillId="5" fontId="16" numFmtId="0" xfId="0" applyAlignment="1" applyBorder="1" applyFill="1" applyFont="1">
      <alignment horizontal="center" shrinkToFit="0" vertical="center" wrapText="0"/>
    </xf>
    <xf borderId="24" fillId="4" fontId="16" numFmtId="0" xfId="0" applyAlignment="1" applyBorder="1" applyFill="1" applyFont="1">
      <alignment horizontal="center" shrinkToFit="0" vertical="center" wrapText="0"/>
    </xf>
    <xf borderId="1" fillId="2" fontId="17" numFmtId="0" xfId="0" applyAlignment="1" applyBorder="1" applyFill="1" applyFont="1">
      <alignment horizontal="left" shrinkToFit="0" vertical="center" wrapText="0"/>
    </xf>
    <xf borderId="25" fillId="2" fontId="1" numFmtId="1" xfId="0" applyAlignment="1" applyBorder="1" applyFill="1" applyFont="1" applyNumberFormat="1">
      <alignment shrinkToFit="0" vertical="center" wrapText="0"/>
    </xf>
    <xf borderId="1" fillId="2" fontId="2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shrinkToFit="0" vertical="top" wrapText="0"/>
    </xf>
    <xf borderId="3" fillId="2" fontId="2" numFmtId="49" xfId="0" applyAlignment="1" applyBorder="1" applyFill="1" applyFont="1" applyNumberForma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bottom" wrapText="1"/>
    </xf>
    <xf borderId="25" fillId="0" fontId="15" numFmtId="166" xfId="0" applyAlignment="1" applyBorder="1" applyFont="1" applyNumberFormat="1">
      <alignment shrinkToFit="0" vertical="top" wrapText="1"/>
    </xf>
    <xf borderId="3" fillId="0" fontId="1" numFmtId="49" xfId="0" applyAlignment="1" applyBorder="1" applyFont="1" applyNumberFormat="1">
      <alignment shrinkToFit="0" vertical="top" wrapText="0"/>
    </xf>
    <xf borderId="26" fillId="4" fontId="16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shrinkToFit="0" vertical="top" wrapText="0"/>
    </xf>
    <xf borderId="27" fillId="4" fontId="16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shrinkToFit="0" vertical="top" wrapText="1"/>
    </xf>
    <xf borderId="28" fillId="0" fontId="15" numFmtId="0" xfId="0" applyAlignment="1" applyBorder="1" applyFont="1">
      <alignment shrinkToFit="0" vertical="top" wrapText="1"/>
    </xf>
    <xf borderId="29" fillId="4" fontId="16" numFmtId="0" xfId="0" applyAlignment="1" applyBorder="1" applyFill="1" applyFont="1">
      <alignment horizontal="center" shrinkToFit="0" vertical="center" wrapText="1"/>
    </xf>
    <xf borderId="30" fillId="4" fontId="16" numFmtId="0" xfId="0" applyAlignment="1" applyBorder="1" applyFill="1" applyFont="1">
      <alignment horizontal="center" shrinkToFit="0" vertical="center" wrapText="1"/>
    </xf>
    <xf borderId="25" fillId="0" fontId="1" numFmtId="165" xfId="0" applyAlignment="1" applyBorder="1" applyFont="1" applyNumberFormat="1">
      <alignment shrinkToFit="0" vertical="top" wrapText="0"/>
    </xf>
    <xf borderId="1" fillId="2" fontId="11" numFmtId="0" xfId="0" applyAlignment="1" applyBorder="1" applyFill="1" applyFont="1">
      <alignment horizontal="center" shrinkToFit="0" vertical="center" wrapText="1"/>
    </xf>
    <xf borderId="28" fillId="0" fontId="1" numFmtId="0" xfId="0" applyAlignment="1" applyBorder="1" applyFont="1">
      <alignment shrinkToFit="0" vertical="top" wrapText="0"/>
    </xf>
    <xf borderId="3" fillId="2" fontId="18" numFmtId="0" xfId="0" applyAlignment="1" applyBorder="1" applyFill="1" applyFont="1">
      <alignment horizontal="left" shrinkToFit="0" vertical="center" wrapText="0"/>
    </xf>
    <xf borderId="3" fillId="2" fontId="2" numFmtId="0" xfId="0" applyAlignment="1" applyBorder="1" applyFill="1" applyFont="1">
      <alignment horizontal="left" shrinkToFit="0" vertical="center" wrapText="1"/>
    </xf>
    <xf borderId="28" fillId="2" fontId="2" numFmtId="0" xfId="0" applyAlignment="1" applyBorder="1" applyFill="1" applyFont="1">
      <alignment horizontal="left" shrinkToFit="0" vertical="center" wrapText="1"/>
    </xf>
    <xf borderId="28" fillId="2" fontId="2" numFmtId="0" xfId="0" applyAlignment="1" applyBorder="1" applyFill="1" applyFont="1">
      <alignment horizontal="left" readingOrder="0" shrinkToFit="0" vertical="center" wrapText="1"/>
    </xf>
    <xf borderId="31" fillId="2" fontId="1" numFmtId="0" xfId="0" applyAlignment="1" applyBorder="1" applyFill="1" applyFont="1">
      <alignment shrinkToFit="0" vertical="top" wrapText="1"/>
    </xf>
    <xf borderId="11" fillId="0" fontId="19" numFmtId="0" xfId="0" applyAlignment="1" applyBorder="1" applyFont="1">
      <alignment horizontal="left" shrinkToFit="0" vertical="top" wrapText="1"/>
    </xf>
    <xf borderId="32" fillId="0" fontId="1" numFmtId="165" xfId="0" applyAlignment="1" applyBorder="1" applyFont="1" applyNumberFormat="1">
      <alignment shrinkToFit="0" vertical="top" wrapText="0"/>
    </xf>
    <xf borderId="3" fillId="2" fontId="1" numFmtId="49" xfId="0" applyAlignment="1" applyBorder="1" applyFill="1" applyFont="1" applyNumberFormat="1">
      <alignment horizontal="left" shrinkToFit="0" vertical="center" wrapText="0"/>
    </xf>
    <xf borderId="33" fillId="0" fontId="1" numFmtId="49" xfId="0" applyAlignment="1" applyBorder="1" applyFont="1" applyNumberFormat="1">
      <alignment shrinkToFit="0" vertical="top" wrapText="0"/>
    </xf>
    <xf borderId="33" fillId="0" fontId="1" numFmtId="0" xfId="0" applyAlignment="1" applyBorder="1" applyFont="1">
      <alignment shrinkToFit="0" vertical="top" wrapText="0"/>
    </xf>
    <xf borderId="28" fillId="2" fontId="1" numFmtId="0" xfId="0" applyAlignment="1" applyBorder="1" applyFill="1" applyFont="1">
      <alignment horizontal="left" shrinkToFit="0" vertical="center" wrapText="0"/>
    </xf>
    <xf borderId="34" fillId="0" fontId="1" numFmtId="0" xfId="0" applyAlignment="1" applyBorder="1" applyFont="1">
      <alignment shrinkToFit="0" vertical="top" wrapText="0"/>
    </xf>
    <xf borderId="11" fillId="2" fontId="1" numFmtId="0" xfId="0" applyAlignment="1" applyBorder="1" applyFill="1" applyFont="1">
      <alignment horizontal="center" readingOrder="0" shrinkToFit="0" vertical="top" wrapText="1"/>
    </xf>
    <xf borderId="3" fillId="2" fontId="1" numFmtId="0" xfId="0" applyAlignment="1" applyBorder="1" applyFill="1" applyFont="1">
      <alignment horizontal="left" shrinkToFit="0" vertical="center" wrapText="0"/>
    </xf>
    <xf borderId="11" fillId="2" fontId="1" numFmtId="167" xfId="0" applyAlignment="1" applyBorder="1" applyFill="1" applyFont="1" applyNumberFormat="1">
      <alignment horizontal="center" readingOrder="0" shrinkToFit="0" vertical="top" wrapText="1"/>
    </xf>
    <xf borderId="35" fillId="2" fontId="1" numFmtId="0" xfId="0" applyAlignment="1" applyBorder="1" applyFill="1" applyFont="1">
      <alignment shrinkToFit="0" vertical="top" wrapText="1"/>
    </xf>
    <xf borderId="1" fillId="2" fontId="9" numFmtId="0" xfId="0" applyAlignment="1" applyBorder="1" applyFill="1" applyFont="1">
      <alignment shrinkToFit="0" vertical="top" wrapText="1"/>
    </xf>
    <xf borderId="32" fillId="2" fontId="1" numFmtId="1" xfId="0" applyAlignment="1" applyBorder="1" applyFill="1" applyFont="1" applyNumberFormat="1">
      <alignment shrinkToFit="0" vertical="center" wrapText="0"/>
    </xf>
    <xf borderId="1" fillId="2" fontId="11" numFmtId="0" xfId="0" applyAlignment="1" applyBorder="1" applyFill="1" applyFont="1">
      <alignment horizontal="left" shrinkToFit="0" vertical="center" wrapText="0"/>
    </xf>
    <xf borderId="33" fillId="2" fontId="1" numFmtId="49" xfId="0" applyAlignment="1" applyBorder="1" applyFill="1" applyFont="1" applyNumberFormat="1">
      <alignment horizontal="left" shrinkToFit="0" vertical="center" wrapText="0"/>
    </xf>
    <xf borderId="33" fillId="2" fontId="1" numFmtId="0" xfId="0" applyAlignment="1" applyBorder="1" applyFill="1" applyFont="1">
      <alignment horizontal="left" shrinkToFit="0" vertical="center" wrapText="0"/>
    </xf>
    <xf borderId="34" fillId="2" fontId="1" numFmtId="0" xfId="0" applyAlignment="1" applyBorder="1" applyFill="1" applyFont="1">
      <alignment horizontal="left" shrinkToFit="0" vertical="center" wrapText="0"/>
    </xf>
    <xf borderId="1" fillId="2" fontId="9" numFmtId="0" xfId="0" applyAlignment="1" applyBorder="1" applyFill="1" applyFont="1">
      <alignment shrinkToFit="0" vertical="bottom" wrapText="0"/>
    </xf>
    <xf borderId="11" fillId="2" fontId="1" numFmtId="0" xfId="0" applyAlignment="1" applyBorder="1" applyFill="1" applyFont="1">
      <alignment horizontal="center" shrinkToFit="0" vertical="top" wrapText="1"/>
    </xf>
    <xf borderId="11" fillId="2" fontId="1" numFmtId="167" xfId="0" applyAlignment="1" applyBorder="1" applyFill="1" applyFont="1" applyNumberFormat="1">
      <alignment horizontal="center" shrinkToFit="0" vertical="top" wrapText="1"/>
    </xf>
    <xf borderId="36" fillId="2" fontId="6" numFmtId="0" xfId="0" applyAlignment="1" applyBorder="1" applyFill="1" applyFont="1">
      <alignment horizontal="center" shrinkToFit="0" vertical="bottom" wrapText="0"/>
    </xf>
    <xf borderId="37" fillId="0" fontId="12" numFmtId="0" xfId="0" applyBorder="1" applyFont="1"/>
    <xf borderId="38" fillId="0" fontId="12" numFmtId="0" xfId="0" applyBorder="1" applyFont="1"/>
    <xf borderId="1" fillId="2" fontId="7" numFmtId="0" xfId="0" applyAlignment="1" applyBorder="1" applyFill="1" applyFont="1">
      <alignment shrinkToFit="0" vertical="bottom" wrapText="0"/>
    </xf>
    <xf borderId="1" fillId="2" fontId="1" numFmtId="165" xfId="0" applyAlignment="1" applyBorder="1" applyFill="1" applyFont="1" applyNumberFormat="1">
      <alignment shrinkToFit="0" vertical="bottom" wrapText="0"/>
    </xf>
    <xf borderId="11" fillId="2" fontId="14" numFmtId="0" xfId="0" applyAlignment="1" applyBorder="1" applyFill="1" applyFont="1">
      <alignment horizontal="left" shrinkToFit="0" vertical="center" wrapText="0"/>
    </xf>
    <xf borderId="5" fillId="2" fontId="14" numFmtId="0" xfId="0" applyAlignment="1" applyBorder="1" applyFill="1" applyFont="1">
      <alignment horizontal="left" shrinkToFit="0" vertical="bottom" wrapText="0"/>
    </xf>
    <xf borderId="31" fillId="2" fontId="14" numFmtId="0" xfId="0" applyAlignment="1" applyBorder="1" applyFill="1" applyFont="1">
      <alignment horizontal="left" readingOrder="0" shrinkToFit="0" vertical="bottom" wrapText="0"/>
    </xf>
    <xf borderId="31" fillId="2" fontId="1" numFmtId="0" xfId="0" applyAlignment="1" applyBorder="1" applyFill="1" applyFont="1">
      <alignment shrinkToFit="0" vertical="top" wrapText="0"/>
    </xf>
    <xf borderId="11" fillId="2" fontId="14" numFmtId="0" xfId="0" applyAlignment="1" applyBorder="1" applyFill="1" applyFont="1">
      <alignment shrinkToFit="0" vertical="center" wrapText="0"/>
    </xf>
    <xf borderId="31" fillId="2" fontId="14" numFmtId="166" xfId="0" applyAlignment="1" applyBorder="1" applyFill="1" applyFont="1" applyNumberFormat="1">
      <alignment horizontal="left" shrinkToFit="0" vertical="bottom" wrapText="0"/>
    </xf>
    <xf borderId="31" fillId="2" fontId="15" numFmtId="0" xfId="0" applyAlignment="1" applyBorder="1" applyFill="1" applyFont="1">
      <alignment shrinkToFit="0" vertical="top" wrapText="0"/>
    </xf>
    <xf borderId="1" fillId="2" fontId="15" numFmtId="0" xfId="0" applyAlignment="1" applyBorder="1" applyFill="1" applyFont="1">
      <alignment shrinkToFit="0" vertical="bottom" wrapText="0"/>
    </xf>
    <xf borderId="39" fillId="2" fontId="1" numFmtId="0" xfId="0" applyAlignment="1" applyBorder="1" applyFill="1" applyFont="1">
      <alignment shrinkToFit="0" vertical="bottom" wrapText="0"/>
    </xf>
    <xf borderId="40" fillId="4" fontId="16" numFmtId="0" xfId="0" applyAlignment="1" applyBorder="1" applyFill="1" applyFont="1">
      <alignment horizontal="center" shrinkToFit="0" vertical="bottom" wrapText="0"/>
    </xf>
    <xf borderId="22" fillId="4" fontId="16" numFmtId="0" xfId="0" applyAlignment="1" applyBorder="1" applyFill="1" applyFont="1">
      <alignment horizontal="center" shrinkToFit="0" vertical="bottom" wrapText="0"/>
    </xf>
    <xf borderId="22" fillId="4" fontId="16" numFmtId="0" xfId="0" applyAlignment="1" applyBorder="1" applyFill="1" applyFont="1">
      <alignment horizontal="center" shrinkToFit="0" vertical="bottom" wrapText="1"/>
    </xf>
    <xf borderId="23" fillId="4" fontId="16" numFmtId="0" xfId="0" applyAlignment="1" applyBorder="1" applyFill="1" applyFont="1">
      <alignment horizontal="center" shrinkToFit="0" vertical="bottom" wrapText="0"/>
    </xf>
    <xf borderId="41" fillId="4" fontId="16" numFmtId="0" xfId="0" applyAlignment="1" applyBorder="1" applyFill="1" applyFont="1">
      <alignment horizontal="center" shrinkToFit="0" vertical="bottom" wrapText="1"/>
    </xf>
    <xf borderId="42" fillId="2" fontId="1" numFmtId="0" xfId="0" applyAlignment="1" applyBorder="1" applyFill="1" applyFont="1">
      <alignment horizontal="center" shrinkToFit="0" vertical="bottom" wrapText="0"/>
    </xf>
    <xf borderId="3" fillId="2" fontId="1" numFmtId="0" xfId="0" applyAlignment="1" applyBorder="1" applyFill="1" applyFont="1">
      <alignment shrinkToFit="0" vertical="bottom" wrapText="0"/>
    </xf>
    <xf borderId="3" fillId="2" fontId="1" numFmtId="0" xfId="0" applyAlignment="1" applyBorder="1" applyFill="1" applyFont="1">
      <alignment horizontal="center" shrinkToFit="0" vertical="bottom" wrapText="0"/>
    </xf>
    <xf borderId="43" fillId="2" fontId="1" numFmtId="0" xfId="0" applyAlignment="1" applyBorder="1" applyFill="1" applyFont="1">
      <alignment horizontal="center" shrinkToFit="0" vertical="bottom" wrapText="0"/>
    </xf>
    <xf borderId="44" fillId="2" fontId="1" numFmtId="0" xfId="0" applyAlignment="1" applyBorder="1" applyFill="1" applyFont="1">
      <alignment horizontal="center" shrinkToFit="0" vertical="bottom" wrapText="0"/>
    </xf>
    <xf borderId="45" fillId="4" fontId="20" numFmtId="0" xfId="0" applyAlignment="1" applyBorder="1" applyFill="1" applyFont="1">
      <alignment horizontal="center" shrinkToFit="0" vertical="bottom" wrapText="0"/>
    </xf>
    <xf borderId="33" fillId="4" fontId="16" numFmtId="0" xfId="0" applyAlignment="1" applyBorder="1" applyFill="1" applyFont="1">
      <alignment shrinkToFit="0" vertical="bottom" wrapText="0"/>
    </xf>
    <xf borderId="33" fillId="4" fontId="20" numFmtId="0" xfId="0" applyAlignment="1" applyBorder="1" applyFill="1" applyFont="1">
      <alignment horizontal="center" shrinkToFit="0" vertical="bottom" wrapText="0"/>
    </xf>
    <xf borderId="46" fillId="4" fontId="20" numFmtId="0" xfId="0" applyAlignment="1" applyBorder="1" applyFill="1" applyFont="1">
      <alignment horizontal="center" shrinkToFit="0" vertical="bottom" wrapText="0"/>
    </xf>
    <xf borderId="1" fillId="2" fontId="21" numFmtId="10" xfId="0" applyAlignment="1" applyBorder="1" applyFill="1" applyFont="1" applyNumberFormat="1">
      <alignment horizontal="right" shrinkToFit="0" vertical="bottom" wrapText="1"/>
    </xf>
    <xf borderId="1" fillId="2" fontId="21" numFmtId="168" xfId="0" applyAlignment="1" applyBorder="1" applyFill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2.43"/>
    <col customWidth="1" min="3" max="3" width="10.57"/>
    <col customWidth="1" min="4" max="4" width="16.57"/>
    <col customWidth="1" min="5" max="5" width="9.14"/>
    <col customWidth="1" min="6" max="6" width="35.57"/>
    <col customWidth="1" min="7" max="7" width="35.43"/>
    <col customWidth="1" min="8" max="26" width="9.14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11"/>
      <c r="B2" s="19" t="s">
        <v>7</v>
      </c>
      <c r="C2" s="22"/>
      <c r="D2" s="22"/>
      <c r="E2" s="22"/>
      <c r="F2" s="22"/>
      <c r="G2" s="2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2.75" customHeight="1">
      <c r="A3" s="1"/>
      <c r="B3" s="31"/>
      <c r="C3" s="32"/>
      <c r="D3" s="1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34" t="s">
        <v>15</v>
      </c>
      <c r="C4" s="35" t="s">
        <v>28</v>
      </c>
      <c r="D4" s="22"/>
      <c r="E4" s="25"/>
      <c r="F4" s="34" t="s">
        <v>33</v>
      </c>
      <c r="G4" s="36" t="s">
        <v>34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34" t="s">
        <v>38</v>
      </c>
      <c r="C5" s="35" t="s">
        <v>39</v>
      </c>
      <c r="D5" s="22"/>
      <c r="E5" s="25"/>
      <c r="F5" s="34" t="s">
        <v>42</v>
      </c>
      <c r="G5" s="36" t="s">
        <v>43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42" t="s">
        <v>47</v>
      </c>
      <c r="C6" s="45" t="str">
        <f>C5&amp;"_TestCase_V0.1"</f>
        <v>CPS_TestCase_V0.1</v>
      </c>
      <c r="D6" s="46"/>
      <c r="E6" s="47"/>
      <c r="F6" s="34" t="s">
        <v>60</v>
      </c>
      <c r="G6" s="49">
        <v>46318.0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51"/>
      <c r="C7" s="52"/>
      <c r="D7" s="53"/>
      <c r="E7" s="54"/>
      <c r="F7" s="34" t="s">
        <v>72</v>
      </c>
      <c r="G7" s="57" t="s">
        <v>73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59"/>
      <c r="C8" s="32"/>
      <c r="D8" s="1"/>
      <c r="E8" s="1"/>
      <c r="F8" s="31"/>
      <c r="G8" s="3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63" t="s">
        <v>82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65"/>
      <c r="B11" s="67" t="s">
        <v>86</v>
      </c>
      <c r="C11" s="70" t="s">
        <v>72</v>
      </c>
      <c r="D11" s="70" t="s">
        <v>94</v>
      </c>
      <c r="E11" s="70" t="s">
        <v>98</v>
      </c>
      <c r="F11" s="70" t="s">
        <v>100</v>
      </c>
      <c r="G11" s="74" t="s">
        <v>103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39.75" customHeight="1">
      <c r="A12" s="78"/>
      <c r="B12" s="81">
        <v>46318.0</v>
      </c>
      <c r="C12" s="82" t="s">
        <v>110</v>
      </c>
      <c r="D12" s="78"/>
      <c r="E12" s="84" t="s">
        <v>114</v>
      </c>
      <c r="F12" s="86" t="s">
        <v>119</v>
      </c>
      <c r="G12" s="87" t="s">
        <v>122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21.75" customHeight="1">
      <c r="A13" s="78"/>
      <c r="B13" s="90"/>
      <c r="C13" s="82"/>
      <c r="D13" s="84"/>
      <c r="E13" s="84"/>
      <c r="F13" s="84"/>
      <c r="G13" s="92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9.5" customHeight="1">
      <c r="A14" s="78"/>
      <c r="B14" s="90"/>
      <c r="C14" s="82"/>
      <c r="D14" s="84"/>
      <c r="E14" s="84"/>
      <c r="F14" s="84"/>
      <c r="G14" s="92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21.75" customHeight="1">
      <c r="A15" s="78"/>
      <c r="B15" s="90"/>
      <c r="C15" s="82"/>
      <c r="D15" s="84"/>
      <c r="E15" s="84"/>
      <c r="F15" s="84"/>
      <c r="G15" s="92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9.5" customHeight="1">
      <c r="A16" s="78"/>
      <c r="B16" s="90"/>
      <c r="C16" s="82"/>
      <c r="D16" s="84"/>
      <c r="E16" s="84"/>
      <c r="F16" s="84"/>
      <c r="G16" s="92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21.75" customHeight="1">
      <c r="A17" s="78"/>
      <c r="B17" s="90"/>
      <c r="C17" s="82"/>
      <c r="D17" s="84"/>
      <c r="E17" s="84"/>
      <c r="F17" s="84"/>
      <c r="G17" s="92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9.5" customHeight="1">
      <c r="A18" s="78"/>
      <c r="B18" s="99"/>
      <c r="C18" s="101"/>
      <c r="D18" s="102"/>
      <c r="E18" s="102"/>
      <c r="F18" s="102"/>
      <c r="G18" s="104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3.43"/>
    <col customWidth="1" min="3" max="3" width="30.0"/>
    <col customWidth="1" min="4" max="4" width="18.0"/>
    <col customWidth="1" min="5" max="5" width="48.0"/>
    <col customWidth="1" min="6" max="6" width="40.0"/>
    <col customWidth="1" min="7" max="26" width="22.0"/>
  </cols>
  <sheetData>
    <row r="1" ht="25.5" customHeight="1">
      <c r="A1" s="3"/>
      <c r="B1" s="7"/>
      <c r="C1" s="8"/>
      <c r="D1" s="13" t="s">
        <v>6</v>
      </c>
      <c r="E1" s="14"/>
      <c r="F1" s="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/>
      <c r="B2" s="7"/>
      <c r="C2" s="8"/>
      <c r="D2" s="21"/>
      <c r="E2" s="21"/>
      <c r="F2" s="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/>
      <c r="B3" s="28" t="s">
        <v>15</v>
      </c>
      <c r="C3" s="30"/>
      <c r="D3" s="40" t="str">
        <f>Cover!C4</f>
        <v>CellphoneS</v>
      </c>
      <c r="E3" s="22"/>
      <c r="F3" s="2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28" t="s">
        <v>38</v>
      </c>
      <c r="C4" s="30"/>
      <c r="D4" s="40" t="str">
        <f>Cover!C5</f>
        <v>CPS</v>
      </c>
      <c r="E4" s="22"/>
      <c r="F4" s="2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0.0" customHeight="1">
      <c r="A5" s="9"/>
      <c r="B5" s="50" t="s">
        <v>63</v>
      </c>
      <c r="C5" s="25"/>
      <c r="D5" s="55" t="s">
        <v>69</v>
      </c>
      <c r="E5" s="22"/>
      <c r="F5" s="25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3"/>
      <c r="B6" s="5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60"/>
      <c r="B7" s="61"/>
      <c r="C7" s="62"/>
      <c r="D7" s="62"/>
      <c r="E7" s="62"/>
      <c r="F7" s="62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21.0" customHeight="1">
      <c r="A8" s="66"/>
      <c r="B8" s="68" t="s">
        <v>88</v>
      </c>
      <c r="C8" s="69" t="s">
        <v>89</v>
      </c>
      <c r="D8" s="69" t="s">
        <v>92</v>
      </c>
      <c r="E8" s="71" t="s">
        <v>93</v>
      </c>
      <c r="F8" s="73" t="s">
        <v>97</v>
      </c>
      <c r="G8" s="73" t="s">
        <v>102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33.0" customHeight="1">
      <c r="A9" s="3"/>
      <c r="B9" s="76">
        <v>1.0</v>
      </c>
      <c r="C9" s="79" t="s">
        <v>24</v>
      </c>
      <c r="D9" s="93" t="s">
        <v>113</v>
      </c>
      <c r="E9" s="94" t="s">
        <v>131</v>
      </c>
      <c r="F9" s="95" t="s">
        <v>132</v>
      </c>
      <c r="G9" s="96" t="s">
        <v>34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3.0" customHeight="1">
      <c r="A10" s="3"/>
      <c r="B10" s="76"/>
      <c r="C10" s="100"/>
      <c r="D10" s="93"/>
      <c r="E10" s="93"/>
      <c r="F10" s="10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3.0" customHeight="1">
      <c r="A11" s="3"/>
      <c r="B11" s="76"/>
      <c r="C11" s="100"/>
      <c r="D11" s="93"/>
      <c r="E11" s="93"/>
      <c r="F11" s="10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76"/>
      <c r="C12" s="100"/>
      <c r="D12" s="93"/>
      <c r="E12" s="93"/>
      <c r="F12" s="10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76"/>
      <c r="C13" s="100"/>
      <c r="D13" s="93"/>
      <c r="E13" s="93"/>
      <c r="F13" s="10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76"/>
      <c r="C14" s="100"/>
      <c r="D14" s="106"/>
      <c r="E14" s="106"/>
      <c r="F14" s="10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76"/>
      <c r="C15" s="100"/>
      <c r="D15" s="106"/>
      <c r="E15" s="106"/>
      <c r="F15" s="10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76"/>
      <c r="C16" s="100"/>
      <c r="D16" s="106"/>
      <c r="E16" s="106"/>
      <c r="F16" s="10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76"/>
      <c r="C17" s="100"/>
      <c r="D17" s="106"/>
      <c r="E17" s="106"/>
      <c r="F17" s="10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76"/>
      <c r="C18" s="100"/>
      <c r="D18" s="106"/>
      <c r="E18" s="106"/>
      <c r="F18" s="10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76"/>
      <c r="C19" s="100"/>
      <c r="D19" s="106"/>
      <c r="E19" s="106"/>
      <c r="F19" s="10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76"/>
      <c r="C20" s="100"/>
      <c r="D20" s="106"/>
      <c r="E20" s="106"/>
      <c r="F20" s="10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110"/>
      <c r="C21" s="112"/>
      <c r="D21" s="113"/>
      <c r="E21" s="113"/>
      <c r="F21" s="1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7"/>
      <c r="C22" s="8"/>
      <c r="D22" s="8"/>
      <c r="E22" s="8"/>
      <c r="F22" s="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7"/>
      <c r="C23" s="8"/>
      <c r="D23" s="8"/>
      <c r="E23" s="8"/>
      <c r="F23" s="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7"/>
      <c r="C24" s="8"/>
      <c r="D24" s="8"/>
      <c r="E24" s="8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7"/>
      <c r="C25" s="8"/>
      <c r="D25" s="8"/>
      <c r="E25" s="8"/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7"/>
      <c r="C26" s="8"/>
      <c r="D26" s="8"/>
      <c r="E26" s="8"/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7"/>
      <c r="C27" s="8"/>
      <c r="D27" s="8"/>
      <c r="E27" s="8"/>
      <c r="F27" s="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7"/>
      <c r="C28" s="8"/>
      <c r="D28" s="8"/>
      <c r="E28" s="8"/>
      <c r="F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7"/>
      <c r="C29" s="8"/>
      <c r="D29" s="8"/>
      <c r="E29" s="8"/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7"/>
      <c r="C30" s="8"/>
      <c r="D30" s="8"/>
      <c r="E30" s="8"/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7"/>
      <c r="C31" s="8"/>
      <c r="D31" s="8"/>
      <c r="E31" s="8"/>
      <c r="F31" s="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7"/>
      <c r="C32" s="8"/>
      <c r="D32" s="8"/>
      <c r="E32" s="8"/>
      <c r="F32" s="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7"/>
      <c r="C33" s="8"/>
      <c r="D33" s="8"/>
      <c r="E33" s="8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7"/>
      <c r="C34" s="8"/>
      <c r="D34" s="8"/>
      <c r="E34" s="8"/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7"/>
      <c r="C35" s="8"/>
      <c r="D35" s="8"/>
      <c r="E35" s="8"/>
      <c r="F35" s="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7"/>
      <c r="C36" s="8"/>
      <c r="D36" s="8"/>
      <c r="E36" s="8"/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7"/>
      <c r="C37" s="8"/>
      <c r="D37" s="8"/>
      <c r="E37" s="8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7"/>
      <c r="C38" s="8"/>
      <c r="D38" s="8"/>
      <c r="E38" s="8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7"/>
      <c r="C39" s="8"/>
      <c r="D39" s="8"/>
      <c r="E39" s="8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7"/>
      <c r="C40" s="8"/>
      <c r="D40" s="8"/>
      <c r="E40" s="8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7"/>
      <c r="C41" s="8"/>
      <c r="D41" s="8"/>
      <c r="E41" s="8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7"/>
      <c r="C42" s="8"/>
      <c r="D42" s="8"/>
      <c r="E42" s="8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7"/>
      <c r="C43" s="8"/>
      <c r="D43" s="8"/>
      <c r="E43" s="8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7"/>
      <c r="C44" s="8"/>
      <c r="D44" s="8"/>
      <c r="E44" s="8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7"/>
      <c r="C45" s="8"/>
      <c r="D45" s="8"/>
      <c r="E45" s="8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7"/>
      <c r="C46" s="8"/>
      <c r="D46" s="8"/>
      <c r="E46" s="8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7"/>
      <c r="C47" s="8"/>
      <c r="D47" s="8"/>
      <c r="E47" s="8"/>
      <c r="F47" s="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7"/>
      <c r="C48" s="8"/>
      <c r="D48" s="8"/>
      <c r="E48" s="8"/>
      <c r="F48" s="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7"/>
      <c r="C49" s="8"/>
      <c r="D49" s="8"/>
      <c r="E49" s="8"/>
      <c r="F49" s="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7"/>
      <c r="C50" s="8"/>
      <c r="D50" s="8"/>
      <c r="E50" s="8"/>
      <c r="F50" s="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7"/>
      <c r="C51" s="8"/>
      <c r="D51" s="8"/>
      <c r="E51" s="8"/>
      <c r="F51" s="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7"/>
      <c r="C52" s="8"/>
      <c r="D52" s="8"/>
      <c r="E52" s="8"/>
      <c r="F52" s="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7"/>
      <c r="C53" s="8"/>
      <c r="D53" s="8"/>
      <c r="E53" s="8"/>
      <c r="F53" s="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7"/>
      <c r="C54" s="8"/>
      <c r="D54" s="8"/>
      <c r="E54" s="8"/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7"/>
      <c r="C55" s="8"/>
      <c r="D55" s="8"/>
      <c r="E55" s="8"/>
      <c r="F55" s="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7"/>
      <c r="C56" s="8"/>
      <c r="D56" s="8"/>
      <c r="E56" s="8"/>
      <c r="F56" s="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7"/>
      <c r="C57" s="8"/>
      <c r="D57" s="8"/>
      <c r="E57" s="8"/>
      <c r="F57" s="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7"/>
      <c r="C58" s="8"/>
      <c r="D58" s="8"/>
      <c r="E58" s="8"/>
      <c r="F58" s="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7"/>
      <c r="C59" s="8"/>
      <c r="D59" s="8"/>
      <c r="E59" s="8"/>
      <c r="F59" s="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7"/>
      <c r="C60" s="8"/>
      <c r="D60" s="8"/>
      <c r="E60" s="8"/>
      <c r="F60" s="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7"/>
      <c r="C61" s="8"/>
      <c r="D61" s="8"/>
      <c r="E61" s="8"/>
      <c r="F61" s="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7"/>
      <c r="C62" s="8"/>
      <c r="D62" s="8"/>
      <c r="E62" s="8"/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7"/>
      <c r="C63" s="8"/>
      <c r="D63" s="8"/>
      <c r="E63" s="8"/>
      <c r="F63" s="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7"/>
      <c r="C64" s="8"/>
      <c r="D64" s="8"/>
      <c r="E64" s="8"/>
      <c r="F64" s="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7"/>
      <c r="C65" s="8"/>
      <c r="D65" s="8"/>
      <c r="E65" s="8"/>
      <c r="F65" s="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7"/>
      <c r="C66" s="8"/>
      <c r="D66" s="8"/>
      <c r="E66" s="8"/>
      <c r="F66" s="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7"/>
      <c r="C67" s="8"/>
      <c r="D67" s="8"/>
      <c r="E67" s="8"/>
      <c r="F67" s="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7"/>
      <c r="C68" s="8"/>
      <c r="D68" s="8"/>
      <c r="E68" s="8"/>
      <c r="F68" s="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7"/>
      <c r="C69" s="8"/>
      <c r="D69" s="8"/>
      <c r="E69" s="8"/>
      <c r="F69" s="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7"/>
      <c r="C70" s="8"/>
      <c r="D70" s="8"/>
      <c r="E70" s="8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7"/>
      <c r="C71" s="8"/>
      <c r="D71" s="8"/>
      <c r="E71" s="8"/>
      <c r="F71" s="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7"/>
      <c r="C72" s="8"/>
      <c r="D72" s="8"/>
      <c r="E72" s="8"/>
      <c r="F72" s="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7"/>
      <c r="C73" s="8"/>
      <c r="D73" s="8"/>
      <c r="E73" s="8"/>
      <c r="F73" s="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7"/>
      <c r="C74" s="8"/>
      <c r="D74" s="8"/>
      <c r="E74" s="8"/>
      <c r="F74" s="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7"/>
      <c r="C75" s="8"/>
      <c r="D75" s="8"/>
      <c r="E75" s="8"/>
      <c r="F75" s="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7"/>
      <c r="C76" s="8"/>
      <c r="D76" s="8"/>
      <c r="E76" s="8"/>
      <c r="F76" s="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7"/>
      <c r="C77" s="8"/>
      <c r="D77" s="8"/>
      <c r="E77" s="8"/>
      <c r="F77" s="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7"/>
      <c r="C78" s="8"/>
      <c r="D78" s="8"/>
      <c r="E78" s="8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7"/>
      <c r="C79" s="8"/>
      <c r="D79" s="8"/>
      <c r="E79" s="8"/>
      <c r="F79" s="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7"/>
      <c r="C80" s="8"/>
      <c r="D80" s="8"/>
      <c r="E80" s="8"/>
      <c r="F80" s="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7"/>
      <c r="C81" s="8"/>
      <c r="D81" s="8"/>
      <c r="E81" s="8"/>
      <c r="F81" s="8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7"/>
      <c r="C82" s="8"/>
      <c r="D82" s="8"/>
      <c r="E82" s="8"/>
      <c r="F82" s="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7"/>
      <c r="C83" s="8"/>
      <c r="D83" s="8"/>
      <c r="E83" s="8"/>
      <c r="F83" s="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7"/>
      <c r="C84" s="8"/>
      <c r="D84" s="8"/>
      <c r="E84" s="8"/>
      <c r="F84" s="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7"/>
      <c r="C85" s="8"/>
      <c r="D85" s="8"/>
      <c r="E85" s="8"/>
      <c r="F85" s="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7"/>
      <c r="C86" s="8"/>
      <c r="D86" s="8"/>
      <c r="E86" s="8"/>
      <c r="F86" s="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7"/>
      <c r="C87" s="8"/>
      <c r="D87" s="8"/>
      <c r="E87" s="8"/>
      <c r="F87" s="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7"/>
      <c r="C88" s="8"/>
      <c r="D88" s="8"/>
      <c r="E88" s="8"/>
      <c r="F88" s="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7"/>
      <c r="C89" s="8"/>
      <c r="D89" s="8"/>
      <c r="E89" s="8"/>
      <c r="F89" s="8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7"/>
      <c r="C90" s="8"/>
      <c r="D90" s="8"/>
      <c r="E90" s="8"/>
      <c r="F90" s="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7"/>
      <c r="C91" s="8"/>
      <c r="D91" s="8"/>
      <c r="E91" s="8"/>
      <c r="F91" s="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7"/>
      <c r="C92" s="8"/>
      <c r="D92" s="8"/>
      <c r="E92" s="8"/>
      <c r="F92" s="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7"/>
      <c r="C93" s="8"/>
      <c r="D93" s="8"/>
      <c r="E93" s="8"/>
      <c r="F93" s="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7"/>
      <c r="C94" s="8"/>
      <c r="D94" s="8"/>
      <c r="E94" s="8"/>
      <c r="F94" s="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7"/>
      <c r="C95" s="8"/>
      <c r="D95" s="8"/>
      <c r="E95" s="8"/>
      <c r="F95" s="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7"/>
      <c r="C96" s="8"/>
      <c r="D96" s="8"/>
      <c r="E96" s="8"/>
      <c r="F96" s="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7"/>
      <c r="C97" s="8"/>
      <c r="D97" s="8"/>
      <c r="E97" s="8"/>
      <c r="F97" s="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7"/>
      <c r="C98" s="8"/>
      <c r="D98" s="8"/>
      <c r="E98" s="8"/>
      <c r="F98" s="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7"/>
      <c r="C99" s="8"/>
      <c r="D99" s="8"/>
      <c r="E99" s="8"/>
      <c r="F99" s="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7"/>
      <c r="C100" s="8"/>
      <c r="D100" s="8"/>
      <c r="E100" s="8"/>
      <c r="F100" s="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7"/>
      <c r="C101" s="8"/>
      <c r="D101" s="8"/>
      <c r="E101" s="8"/>
      <c r="F101" s="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7"/>
      <c r="C102" s="8"/>
      <c r="D102" s="8"/>
      <c r="E102" s="8"/>
      <c r="F102" s="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7"/>
      <c r="C103" s="8"/>
      <c r="D103" s="8"/>
      <c r="E103" s="8"/>
      <c r="F103" s="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7"/>
      <c r="C104" s="8"/>
      <c r="D104" s="8"/>
      <c r="E104" s="8"/>
      <c r="F104" s="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7"/>
      <c r="C105" s="8"/>
      <c r="D105" s="8"/>
      <c r="E105" s="8"/>
      <c r="F105" s="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7"/>
      <c r="C106" s="8"/>
      <c r="D106" s="8"/>
      <c r="E106" s="8"/>
      <c r="F106" s="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7"/>
      <c r="C107" s="8"/>
      <c r="D107" s="8"/>
      <c r="E107" s="8"/>
      <c r="F107" s="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7"/>
      <c r="C108" s="8"/>
      <c r="D108" s="8"/>
      <c r="E108" s="8"/>
      <c r="F108" s="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7"/>
      <c r="C109" s="8"/>
      <c r="D109" s="8"/>
      <c r="E109" s="8"/>
      <c r="F109" s="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7"/>
      <c r="C110" s="8"/>
      <c r="D110" s="8"/>
      <c r="E110" s="8"/>
      <c r="F110" s="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7"/>
      <c r="C111" s="8"/>
      <c r="D111" s="8"/>
      <c r="E111" s="8"/>
      <c r="F111" s="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7"/>
      <c r="C112" s="8"/>
      <c r="D112" s="8"/>
      <c r="E112" s="8"/>
      <c r="F112" s="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7"/>
      <c r="C113" s="8"/>
      <c r="D113" s="8"/>
      <c r="E113" s="8"/>
      <c r="F113" s="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7"/>
      <c r="C114" s="8"/>
      <c r="D114" s="8"/>
      <c r="E114" s="8"/>
      <c r="F114" s="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7"/>
      <c r="C115" s="8"/>
      <c r="D115" s="8"/>
      <c r="E115" s="8"/>
      <c r="F115" s="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7"/>
      <c r="C116" s="8"/>
      <c r="D116" s="8"/>
      <c r="E116" s="8"/>
      <c r="F116" s="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7"/>
      <c r="C117" s="8"/>
      <c r="D117" s="8"/>
      <c r="E117" s="8"/>
      <c r="F117" s="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7"/>
      <c r="C118" s="8"/>
      <c r="D118" s="8"/>
      <c r="E118" s="8"/>
      <c r="F118" s="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7"/>
      <c r="C119" s="8"/>
      <c r="D119" s="8"/>
      <c r="E119" s="8"/>
      <c r="F119" s="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7"/>
      <c r="C120" s="8"/>
      <c r="D120" s="8"/>
      <c r="E120" s="8"/>
      <c r="F120" s="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7"/>
      <c r="C121" s="8"/>
      <c r="D121" s="8"/>
      <c r="E121" s="8"/>
      <c r="F121" s="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7"/>
      <c r="C122" s="8"/>
      <c r="D122" s="8"/>
      <c r="E122" s="8"/>
      <c r="F122" s="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7"/>
      <c r="C123" s="8"/>
      <c r="D123" s="8"/>
      <c r="E123" s="8"/>
      <c r="F123" s="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7"/>
      <c r="C124" s="8"/>
      <c r="D124" s="8"/>
      <c r="E124" s="8"/>
      <c r="F124" s="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7"/>
      <c r="C125" s="8"/>
      <c r="D125" s="8"/>
      <c r="E125" s="8"/>
      <c r="F125" s="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7"/>
      <c r="C126" s="8"/>
      <c r="D126" s="8"/>
      <c r="E126" s="8"/>
      <c r="F126" s="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7"/>
      <c r="C127" s="8"/>
      <c r="D127" s="8"/>
      <c r="E127" s="8"/>
      <c r="F127" s="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7"/>
      <c r="C128" s="8"/>
      <c r="D128" s="8"/>
      <c r="E128" s="8"/>
      <c r="F128" s="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7"/>
      <c r="C129" s="8"/>
      <c r="D129" s="8"/>
      <c r="E129" s="8"/>
      <c r="F129" s="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7"/>
      <c r="C130" s="8"/>
      <c r="D130" s="8"/>
      <c r="E130" s="8"/>
      <c r="F130" s="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7"/>
      <c r="C131" s="8"/>
      <c r="D131" s="8"/>
      <c r="E131" s="8"/>
      <c r="F131" s="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7"/>
      <c r="C132" s="8"/>
      <c r="D132" s="8"/>
      <c r="E132" s="8"/>
      <c r="F132" s="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7"/>
      <c r="C133" s="8"/>
      <c r="D133" s="8"/>
      <c r="E133" s="8"/>
      <c r="F133" s="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7"/>
      <c r="C134" s="8"/>
      <c r="D134" s="8"/>
      <c r="E134" s="8"/>
      <c r="F134" s="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7"/>
      <c r="C135" s="8"/>
      <c r="D135" s="8"/>
      <c r="E135" s="8"/>
      <c r="F135" s="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7"/>
      <c r="C136" s="8"/>
      <c r="D136" s="8"/>
      <c r="E136" s="8"/>
      <c r="F136" s="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7"/>
      <c r="C137" s="8"/>
      <c r="D137" s="8"/>
      <c r="E137" s="8"/>
      <c r="F137" s="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7"/>
      <c r="C138" s="8"/>
      <c r="D138" s="8"/>
      <c r="E138" s="8"/>
      <c r="F138" s="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7"/>
      <c r="C139" s="8"/>
      <c r="D139" s="8"/>
      <c r="E139" s="8"/>
      <c r="F139" s="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7"/>
      <c r="C140" s="8"/>
      <c r="D140" s="8"/>
      <c r="E140" s="8"/>
      <c r="F140" s="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7"/>
      <c r="C141" s="8"/>
      <c r="D141" s="8"/>
      <c r="E141" s="8"/>
      <c r="F141" s="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7"/>
      <c r="C142" s="8"/>
      <c r="D142" s="8"/>
      <c r="E142" s="8"/>
      <c r="F142" s="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7"/>
      <c r="C143" s="8"/>
      <c r="D143" s="8"/>
      <c r="E143" s="8"/>
      <c r="F143" s="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7"/>
      <c r="C144" s="8"/>
      <c r="D144" s="8"/>
      <c r="E144" s="8"/>
      <c r="F144" s="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7"/>
      <c r="C145" s="8"/>
      <c r="D145" s="8"/>
      <c r="E145" s="8"/>
      <c r="F145" s="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7"/>
      <c r="C146" s="8"/>
      <c r="D146" s="8"/>
      <c r="E146" s="8"/>
      <c r="F146" s="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7"/>
      <c r="C147" s="8"/>
      <c r="D147" s="8"/>
      <c r="E147" s="8"/>
      <c r="F147" s="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7"/>
      <c r="C148" s="8"/>
      <c r="D148" s="8"/>
      <c r="E148" s="8"/>
      <c r="F148" s="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7"/>
      <c r="C149" s="8"/>
      <c r="D149" s="8"/>
      <c r="E149" s="8"/>
      <c r="F149" s="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7"/>
      <c r="C150" s="8"/>
      <c r="D150" s="8"/>
      <c r="E150" s="8"/>
      <c r="F150" s="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7"/>
      <c r="C151" s="8"/>
      <c r="D151" s="8"/>
      <c r="E151" s="8"/>
      <c r="F151" s="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7"/>
      <c r="C152" s="8"/>
      <c r="D152" s="8"/>
      <c r="E152" s="8"/>
      <c r="F152" s="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7"/>
      <c r="C153" s="8"/>
      <c r="D153" s="8"/>
      <c r="E153" s="8"/>
      <c r="F153" s="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7"/>
      <c r="C154" s="8"/>
      <c r="D154" s="8"/>
      <c r="E154" s="8"/>
      <c r="F154" s="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7"/>
      <c r="C155" s="8"/>
      <c r="D155" s="8"/>
      <c r="E155" s="8"/>
      <c r="F155" s="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7"/>
      <c r="C156" s="8"/>
      <c r="D156" s="8"/>
      <c r="E156" s="8"/>
      <c r="F156" s="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7"/>
      <c r="C157" s="8"/>
      <c r="D157" s="8"/>
      <c r="E157" s="8"/>
      <c r="F157" s="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7"/>
      <c r="C158" s="8"/>
      <c r="D158" s="8"/>
      <c r="E158" s="8"/>
      <c r="F158" s="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7"/>
      <c r="C159" s="8"/>
      <c r="D159" s="8"/>
      <c r="E159" s="8"/>
      <c r="F159" s="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7"/>
      <c r="C160" s="8"/>
      <c r="D160" s="8"/>
      <c r="E160" s="8"/>
      <c r="F160" s="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7"/>
      <c r="C161" s="8"/>
      <c r="D161" s="8"/>
      <c r="E161" s="8"/>
      <c r="F161" s="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7"/>
      <c r="C162" s="8"/>
      <c r="D162" s="8"/>
      <c r="E162" s="8"/>
      <c r="F162" s="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7"/>
      <c r="C163" s="8"/>
      <c r="D163" s="8"/>
      <c r="E163" s="8"/>
      <c r="F163" s="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7"/>
      <c r="C164" s="8"/>
      <c r="D164" s="8"/>
      <c r="E164" s="8"/>
      <c r="F164" s="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7"/>
      <c r="C165" s="8"/>
      <c r="D165" s="8"/>
      <c r="E165" s="8"/>
      <c r="F165" s="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7"/>
      <c r="C166" s="8"/>
      <c r="D166" s="8"/>
      <c r="E166" s="8"/>
      <c r="F166" s="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7"/>
      <c r="C167" s="8"/>
      <c r="D167" s="8"/>
      <c r="E167" s="8"/>
      <c r="F167" s="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7"/>
      <c r="C168" s="8"/>
      <c r="D168" s="8"/>
      <c r="E168" s="8"/>
      <c r="F168" s="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7"/>
      <c r="C169" s="8"/>
      <c r="D169" s="8"/>
      <c r="E169" s="8"/>
      <c r="F169" s="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7"/>
      <c r="C170" s="8"/>
      <c r="D170" s="8"/>
      <c r="E170" s="8"/>
      <c r="F170" s="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7"/>
      <c r="C171" s="8"/>
      <c r="D171" s="8"/>
      <c r="E171" s="8"/>
      <c r="F171" s="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7"/>
      <c r="C172" s="8"/>
      <c r="D172" s="8"/>
      <c r="E172" s="8"/>
      <c r="F172" s="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7"/>
      <c r="C173" s="8"/>
      <c r="D173" s="8"/>
      <c r="E173" s="8"/>
      <c r="F173" s="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7"/>
      <c r="C174" s="8"/>
      <c r="D174" s="8"/>
      <c r="E174" s="8"/>
      <c r="F174" s="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7"/>
      <c r="C175" s="8"/>
      <c r="D175" s="8"/>
      <c r="E175" s="8"/>
      <c r="F175" s="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7"/>
      <c r="C176" s="8"/>
      <c r="D176" s="8"/>
      <c r="E176" s="8"/>
      <c r="F176" s="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7"/>
      <c r="C177" s="8"/>
      <c r="D177" s="8"/>
      <c r="E177" s="8"/>
      <c r="F177" s="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7"/>
      <c r="C178" s="8"/>
      <c r="D178" s="8"/>
      <c r="E178" s="8"/>
      <c r="F178" s="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7"/>
      <c r="C179" s="8"/>
      <c r="D179" s="8"/>
      <c r="E179" s="8"/>
      <c r="F179" s="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7"/>
      <c r="C180" s="8"/>
      <c r="D180" s="8"/>
      <c r="E180" s="8"/>
      <c r="F180" s="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7"/>
      <c r="C181" s="8"/>
      <c r="D181" s="8"/>
      <c r="E181" s="8"/>
      <c r="F181" s="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7"/>
      <c r="C182" s="8"/>
      <c r="D182" s="8"/>
      <c r="E182" s="8"/>
      <c r="F182" s="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7"/>
      <c r="C183" s="8"/>
      <c r="D183" s="8"/>
      <c r="E183" s="8"/>
      <c r="F183" s="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7"/>
      <c r="C184" s="8"/>
      <c r="D184" s="8"/>
      <c r="E184" s="8"/>
      <c r="F184" s="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7"/>
      <c r="C185" s="8"/>
      <c r="D185" s="8"/>
      <c r="E185" s="8"/>
      <c r="F185" s="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7"/>
      <c r="C186" s="8"/>
      <c r="D186" s="8"/>
      <c r="E186" s="8"/>
      <c r="F186" s="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7"/>
      <c r="C187" s="8"/>
      <c r="D187" s="8"/>
      <c r="E187" s="8"/>
      <c r="F187" s="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7"/>
      <c r="C188" s="8"/>
      <c r="D188" s="8"/>
      <c r="E188" s="8"/>
      <c r="F188" s="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7"/>
      <c r="C189" s="8"/>
      <c r="D189" s="8"/>
      <c r="E189" s="8"/>
      <c r="F189" s="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7"/>
      <c r="C190" s="8"/>
      <c r="D190" s="8"/>
      <c r="E190" s="8"/>
      <c r="F190" s="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7"/>
      <c r="C191" s="8"/>
      <c r="D191" s="8"/>
      <c r="E191" s="8"/>
      <c r="F191" s="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7"/>
      <c r="C192" s="8"/>
      <c r="D192" s="8"/>
      <c r="E192" s="8"/>
      <c r="F192" s="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7"/>
      <c r="C193" s="8"/>
      <c r="D193" s="8"/>
      <c r="E193" s="8"/>
      <c r="F193" s="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7"/>
      <c r="C194" s="8"/>
      <c r="D194" s="8"/>
      <c r="E194" s="8"/>
      <c r="F194" s="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7"/>
      <c r="C195" s="8"/>
      <c r="D195" s="8"/>
      <c r="E195" s="8"/>
      <c r="F195" s="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7"/>
      <c r="C196" s="8"/>
      <c r="D196" s="8"/>
      <c r="E196" s="8"/>
      <c r="F196" s="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7"/>
      <c r="C197" s="8"/>
      <c r="D197" s="8"/>
      <c r="E197" s="8"/>
      <c r="F197" s="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7"/>
      <c r="C198" s="8"/>
      <c r="D198" s="8"/>
      <c r="E198" s="8"/>
      <c r="F198" s="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7"/>
      <c r="C199" s="8"/>
      <c r="D199" s="8"/>
      <c r="E199" s="8"/>
      <c r="F199" s="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7"/>
      <c r="C200" s="8"/>
      <c r="D200" s="8"/>
      <c r="E200" s="8"/>
      <c r="F200" s="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7"/>
      <c r="C201" s="8"/>
      <c r="D201" s="8"/>
      <c r="E201" s="8"/>
      <c r="F201" s="8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7"/>
      <c r="C202" s="8"/>
      <c r="D202" s="8"/>
      <c r="E202" s="8"/>
      <c r="F202" s="8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7"/>
      <c r="C203" s="8"/>
      <c r="D203" s="8"/>
      <c r="E203" s="8"/>
      <c r="F203" s="8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7"/>
      <c r="C204" s="8"/>
      <c r="D204" s="8"/>
      <c r="E204" s="8"/>
      <c r="F204" s="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7"/>
      <c r="C205" s="8"/>
      <c r="D205" s="8"/>
      <c r="E205" s="8"/>
      <c r="F205" s="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7"/>
      <c r="C206" s="8"/>
      <c r="D206" s="8"/>
      <c r="E206" s="8"/>
      <c r="F206" s="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7"/>
      <c r="C207" s="8"/>
      <c r="D207" s="8"/>
      <c r="E207" s="8"/>
      <c r="F207" s="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7"/>
      <c r="C208" s="8"/>
      <c r="D208" s="8"/>
      <c r="E208" s="8"/>
      <c r="F208" s="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7"/>
      <c r="C209" s="8"/>
      <c r="D209" s="8"/>
      <c r="E209" s="8"/>
      <c r="F209" s="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7"/>
      <c r="C210" s="8"/>
      <c r="D210" s="8"/>
      <c r="E210" s="8"/>
      <c r="F210" s="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7"/>
      <c r="C211" s="8"/>
      <c r="D211" s="8"/>
      <c r="E211" s="8"/>
      <c r="F211" s="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7"/>
      <c r="C212" s="8"/>
      <c r="D212" s="8"/>
      <c r="E212" s="8"/>
      <c r="F212" s="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7"/>
      <c r="C213" s="8"/>
      <c r="D213" s="8"/>
      <c r="E213" s="8"/>
      <c r="F213" s="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7"/>
      <c r="C214" s="8"/>
      <c r="D214" s="8"/>
      <c r="E214" s="8"/>
      <c r="F214" s="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7"/>
      <c r="C215" s="8"/>
      <c r="D215" s="8"/>
      <c r="E215" s="8"/>
      <c r="F215" s="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7"/>
      <c r="C216" s="8"/>
      <c r="D216" s="8"/>
      <c r="E216" s="8"/>
      <c r="F216" s="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7"/>
      <c r="C217" s="8"/>
      <c r="D217" s="8"/>
      <c r="E217" s="8"/>
      <c r="F217" s="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7"/>
      <c r="C218" s="8"/>
      <c r="D218" s="8"/>
      <c r="E218" s="8"/>
      <c r="F218" s="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7"/>
      <c r="C219" s="8"/>
      <c r="D219" s="8"/>
      <c r="E219" s="8"/>
      <c r="F219" s="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7"/>
      <c r="C220" s="8"/>
      <c r="D220" s="8"/>
      <c r="E220" s="8"/>
      <c r="F220" s="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Auth" location="Auth!A1" ref="D9"/>
  </hyperlink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30.0"/>
    <col customWidth="1" min="4" max="4" width="69.57"/>
    <col customWidth="1" min="5" max="5" width="12.29"/>
    <col customWidth="1" min="6" max="6" width="42.0"/>
    <col customWidth="1" min="7" max="26" width="9.14"/>
  </cols>
  <sheetData>
    <row r="1" ht="25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0.25" customHeight="1">
      <c r="A2" s="17" t="s">
        <v>8</v>
      </c>
      <c r="B2" s="18" t="s">
        <v>9</v>
      </c>
      <c r="C2" s="18" t="s">
        <v>10</v>
      </c>
      <c r="D2" s="20" t="s">
        <v>11</v>
      </c>
      <c r="E2" s="24" t="s">
        <v>13</v>
      </c>
      <c r="F2" s="20" t="s">
        <v>14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20.25" customHeight="1">
      <c r="A3" s="18"/>
      <c r="B3" s="18"/>
      <c r="C3" s="18" t="s">
        <v>17</v>
      </c>
      <c r="D3" s="20" t="s">
        <v>18</v>
      </c>
      <c r="E3" s="24" t="s">
        <v>13</v>
      </c>
      <c r="F3" s="20" t="s">
        <v>19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0.25" customHeight="1">
      <c r="A4" s="18"/>
      <c r="B4" s="18"/>
      <c r="C4" s="18"/>
      <c r="D4" s="20" t="s">
        <v>22</v>
      </c>
      <c r="E4" s="24" t="s">
        <v>13</v>
      </c>
      <c r="F4" s="20" t="s">
        <v>23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0.25" customHeight="1">
      <c r="A5" s="18"/>
      <c r="B5" s="18"/>
      <c r="C5" s="18" t="s">
        <v>25</v>
      </c>
      <c r="D5" s="20" t="s">
        <v>26</v>
      </c>
      <c r="E5" s="24" t="s">
        <v>13</v>
      </c>
      <c r="F5" s="20" t="s">
        <v>27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0.25" customHeight="1">
      <c r="A6" s="18"/>
      <c r="B6" s="18"/>
      <c r="C6" s="18"/>
      <c r="D6" s="20" t="s">
        <v>30</v>
      </c>
      <c r="E6" s="24" t="s">
        <v>13</v>
      </c>
      <c r="F6" s="20" t="s">
        <v>32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3.0" customHeight="1">
      <c r="A7" s="18"/>
      <c r="B7" s="18"/>
      <c r="C7" s="18"/>
      <c r="D7" s="20" t="s">
        <v>35</v>
      </c>
      <c r="E7" s="24" t="s">
        <v>13</v>
      </c>
      <c r="F7" s="20" t="s">
        <v>36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20.25" customHeight="1">
      <c r="A8" s="18"/>
      <c r="B8" s="18"/>
      <c r="C8" s="18"/>
      <c r="D8" s="20" t="s">
        <v>40</v>
      </c>
      <c r="E8" s="24" t="s">
        <v>13</v>
      </c>
      <c r="F8" s="20" t="s">
        <v>41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0.25" customHeight="1">
      <c r="A9" s="18"/>
      <c r="B9" s="18"/>
      <c r="C9" s="18"/>
      <c r="D9" s="20" t="s">
        <v>44</v>
      </c>
      <c r="E9" s="24" t="s">
        <v>13</v>
      </c>
      <c r="F9" s="20" t="s">
        <v>45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20.25" customHeight="1">
      <c r="A10" s="18"/>
      <c r="B10" s="18"/>
      <c r="C10" s="18"/>
      <c r="D10" s="20" t="s">
        <v>49</v>
      </c>
      <c r="E10" s="24" t="s">
        <v>13</v>
      </c>
      <c r="F10" s="20" t="s">
        <v>51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0.25" customHeight="1">
      <c r="A11" s="18"/>
      <c r="B11" s="18"/>
      <c r="C11" s="18"/>
      <c r="D11" s="20" t="s">
        <v>52</v>
      </c>
      <c r="E11" s="24" t="s">
        <v>13</v>
      </c>
      <c r="F11" s="20" t="s">
        <v>53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0.25" customHeight="1">
      <c r="A12" s="18"/>
      <c r="B12" s="18"/>
      <c r="C12" s="18"/>
      <c r="D12" s="20" t="s">
        <v>54</v>
      </c>
      <c r="E12" s="24" t="s">
        <v>13</v>
      </c>
      <c r="F12" s="20" t="s">
        <v>55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0.25" customHeight="1">
      <c r="A13" s="18"/>
      <c r="B13" s="18"/>
      <c r="C13" s="18"/>
      <c r="D13" s="20" t="s">
        <v>56</v>
      </c>
      <c r="E13" s="24" t="s">
        <v>13</v>
      </c>
      <c r="F13" s="20" t="s">
        <v>57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33.0" customHeight="1">
      <c r="A14" s="18"/>
      <c r="B14" s="18"/>
      <c r="C14" s="18"/>
      <c r="D14" s="20" t="s">
        <v>58</v>
      </c>
      <c r="E14" s="24" t="s">
        <v>13</v>
      </c>
      <c r="F14" s="20" t="s">
        <v>59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0.25" customHeight="1">
      <c r="A15" s="18"/>
      <c r="B15" s="18"/>
      <c r="C15" s="18"/>
      <c r="D15" s="20" t="s">
        <v>61</v>
      </c>
      <c r="E15" s="24" t="s">
        <v>13</v>
      </c>
      <c r="F15" s="20" t="s">
        <v>62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0.25" customHeight="1">
      <c r="A16" s="18"/>
      <c r="B16" s="18"/>
      <c r="C16" s="18" t="s">
        <v>64</v>
      </c>
      <c r="D16" s="20" t="s">
        <v>65</v>
      </c>
      <c r="E16" s="24" t="s">
        <v>66</v>
      </c>
      <c r="F16" s="20" t="s">
        <v>67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0.25" customHeight="1">
      <c r="A17" s="18"/>
      <c r="B17" s="18" t="s">
        <v>68</v>
      </c>
      <c r="C17" s="18" t="s">
        <v>17</v>
      </c>
      <c r="D17" s="20" t="s">
        <v>70</v>
      </c>
      <c r="E17" s="24" t="s">
        <v>13</v>
      </c>
      <c r="F17" s="20" t="s">
        <v>71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0.25" customHeight="1">
      <c r="A18" s="18"/>
      <c r="B18" s="18"/>
      <c r="C18" s="18" t="s">
        <v>25</v>
      </c>
      <c r="D18" s="20" t="s">
        <v>74</v>
      </c>
      <c r="E18" s="24" t="s">
        <v>13</v>
      </c>
      <c r="F18" s="20" t="s">
        <v>75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0.25" customHeight="1">
      <c r="A19" s="18"/>
      <c r="B19" s="18"/>
      <c r="C19" s="18"/>
      <c r="D19" s="20" t="s">
        <v>76</v>
      </c>
      <c r="E19" s="24" t="s">
        <v>13</v>
      </c>
      <c r="F19" s="20" t="s">
        <v>77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20.25" customHeight="1">
      <c r="A20" s="18"/>
      <c r="B20" s="18"/>
      <c r="C20" s="18"/>
      <c r="D20" s="20" t="s">
        <v>78</v>
      </c>
      <c r="E20" s="24" t="s">
        <v>13</v>
      </c>
      <c r="F20" s="20" t="s">
        <v>79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20.25" customHeight="1">
      <c r="A21" s="18"/>
      <c r="B21" s="18"/>
      <c r="C21" s="18"/>
      <c r="D21" s="20" t="s">
        <v>80</v>
      </c>
      <c r="E21" s="24" t="s">
        <v>13</v>
      </c>
      <c r="F21" s="20" t="s">
        <v>81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33.0" customHeight="1">
      <c r="A22" s="18"/>
      <c r="B22" s="18"/>
      <c r="C22" s="18"/>
      <c r="D22" s="20" t="s">
        <v>83</v>
      </c>
      <c r="E22" s="24" t="s">
        <v>13</v>
      </c>
      <c r="F22" s="20" t="s">
        <v>84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20.25" customHeight="1">
      <c r="A23" s="18"/>
      <c r="B23" s="18"/>
      <c r="C23" s="18"/>
      <c r="D23" s="20" t="s">
        <v>85</v>
      </c>
      <c r="E23" s="24" t="s">
        <v>13</v>
      </c>
      <c r="F23" s="20" t="s">
        <v>87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20.25" customHeight="1">
      <c r="A24" s="18"/>
      <c r="B24" s="18"/>
      <c r="C24" s="18"/>
      <c r="D24" s="20" t="s">
        <v>90</v>
      </c>
      <c r="E24" s="24" t="s">
        <v>13</v>
      </c>
      <c r="F24" s="20" t="s">
        <v>91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20.25" customHeight="1">
      <c r="A25" s="18"/>
      <c r="B25" s="18"/>
      <c r="C25" s="18" t="s">
        <v>95</v>
      </c>
      <c r="D25" s="20" t="s">
        <v>96</v>
      </c>
      <c r="E25" s="24" t="s">
        <v>99</v>
      </c>
      <c r="F25" s="20" t="s">
        <v>101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33.0" customHeight="1">
      <c r="A26" s="18"/>
      <c r="B26" s="18"/>
      <c r="C26" s="18" t="s">
        <v>64</v>
      </c>
      <c r="D26" s="20" t="s">
        <v>104</v>
      </c>
      <c r="E26" s="24" t="s">
        <v>66</v>
      </c>
      <c r="F26" s="20" t="s">
        <v>106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20.25" customHeight="1">
      <c r="A27" s="18"/>
      <c r="B27" s="18"/>
      <c r="C27" s="18"/>
      <c r="D27" s="20" t="s">
        <v>107</v>
      </c>
      <c r="E27" s="24" t="s">
        <v>66</v>
      </c>
      <c r="F27" s="20" t="s">
        <v>108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20.25" customHeight="1">
      <c r="A28" s="18"/>
      <c r="B28" s="18"/>
      <c r="C28" s="18"/>
      <c r="D28" s="20" t="s">
        <v>109</v>
      </c>
      <c r="E28" s="24" t="s">
        <v>66</v>
      </c>
      <c r="F28" s="20" t="s">
        <v>111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20.25" customHeight="1">
      <c r="A29" s="18"/>
      <c r="B29" s="18"/>
      <c r="C29" s="18" t="s">
        <v>115</v>
      </c>
      <c r="D29" s="20" t="s">
        <v>116</v>
      </c>
      <c r="E29" s="24" t="s">
        <v>13</v>
      </c>
      <c r="F29" s="20" t="s">
        <v>118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20.25" customHeight="1">
      <c r="A30" s="18"/>
      <c r="B30" s="18" t="s">
        <v>124</v>
      </c>
      <c r="C30" s="18" t="s">
        <v>124</v>
      </c>
      <c r="D30" s="20" t="s">
        <v>126</v>
      </c>
      <c r="E30" s="24" t="s">
        <v>13</v>
      </c>
      <c r="F30" s="20" t="s">
        <v>128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20.25" customHeight="1">
      <c r="A31" s="18"/>
      <c r="B31" s="18"/>
      <c r="C31" s="18"/>
      <c r="D31" s="20" t="s">
        <v>129</v>
      </c>
      <c r="E31" s="24" t="s">
        <v>13</v>
      </c>
      <c r="F31" s="20" t="s">
        <v>130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33.0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20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25.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25.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25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25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25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25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25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25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25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25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25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25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25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25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38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25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25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25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25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38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25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25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25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autoFilter ref="$A$1:$F$33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4" width="52.0"/>
    <col customWidth="1" min="5" max="5" width="16.0"/>
    <col customWidth="1" min="6" max="6" width="13.0"/>
    <col customWidth="1" min="7" max="7" width="12.0"/>
    <col customWidth="1" min="8" max="8" width="32.0"/>
    <col customWidth="1" min="9" max="9" width="9.43"/>
    <col customWidth="1" hidden="1" min="10" max="10" width="8.14"/>
    <col customWidth="1" min="11" max="26" width="9.14"/>
  </cols>
  <sheetData>
    <row r="1" ht="13.5" customHeight="1">
      <c r="A1" s="4"/>
      <c r="B1" s="6"/>
      <c r="C1" s="6"/>
      <c r="D1" s="6"/>
      <c r="E1" s="6"/>
      <c r="F1" s="9"/>
      <c r="G1" s="12"/>
      <c r="H1" s="9"/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0" customHeight="1">
      <c r="A2" s="23" t="s">
        <v>12</v>
      </c>
      <c r="B2" s="29" t="s">
        <v>16</v>
      </c>
      <c r="C2" s="22"/>
      <c r="D2" s="22"/>
      <c r="E2" s="22"/>
      <c r="F2" s="22"/>
      <c r="G2" s="22"/>
      <c r="H2" s="25"/>
      <c r="I2" s="15"/>
      <c r="J2" s="16" t="s">
        <v>20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5.5" customHeight="1">
      <c r="A3" s="33" t="s">
        <v>21</v>
      </c>
      <c r="B3" s="29" t="s">
        <v>24</v>
      </c>
      <c r="C3" s="22"/>
      <c r="D3" s="22"/>
      <c r="E3" s="22"/>
      <c r="F3" s="22"/>
      <c r="G3" s="22"/>
      <c r="H3" s="25"/>
      <c r="I3" s="15"/>
      <c r="J3" s="16" t="s">
        <v>29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23" t="s">
        <v>31</v>
      </c>
      <c r="B4" s="37" t="s">
        <v>34</v>
      </c>
      <c r="C4" s="22"/>
      <c r="D4" s="22"/>
      <c r="E4" s="22"/>
      <c r="F4" s="22"/>
      <c r="G4" s="22"/>
      <c r="H4" s="25"/>
      <c r="I4" s="15"/>
      <c r="J4" s="16" t="s">
        <v>37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7.0" customHeight="1">
      <c r="A5" s="38" t="s">
        <v>20</v>
      </c>
      <c r="B5" s="39" t="s">
        <v>29</v>
      </c>
      <c r="C5" s="39" t="s">
        <v>46</v>
      </c>
      <c r="D5" s="39" t="s">
        <v>37</v>
      </c>
      <c r="E5" s="41" t="s">
        <v>48</v>
      </c>
      <c r="F5" s="43" t="s">
        <v>50</v>
      </c>
      <c r="G5" s="22"/>
      <c r="H5" s="25"/>
      <c r="I5" s="44"/>
      <c r="J5" s="16" t="s">
        <v>46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0" customHeight="1">
      <c r="A6" s="48">
        <f>COUNTIF(F9:F38,"Passed")</f>
        <v>24</v>
      </c>
      <c r="B6" s="56">
        <f>COUNTIF(F9:F38,"Failed")</f>
        <v>6</v>
      </c>
      <c r="C6" s="56">
        <f>COUNTIF(F9:F38, "Untested")</f>
        <v>0</v>
      </c>
      <c r="D6" s="56">
        <f>COUNTIF(F9:F38,"Blocked")</f>
        <v>0</v>
      </c>
      <c r="E6" s="64">
        <f>COUNTIF(F9:F38,"Skipped")</f>
        <v>0</v>
      </c>
      <c r="F6" s="72">
        <f>SUMPRODUCT(--(LEN(A9:A996)&gt;0))</f>
        <v>30</v>
      </c>
      <c r="G6" s="22"/>
      <c r="H6" s="25"/>
      <c r="I6" s="44"/>
      <c r="J6" s="16" t="s">
        <v>48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0" customHeight="1">
      <c r="A7" s="75" t="s">
        <v>105</v>
      </c>
      <c r="B7" s="16"/>
      <c r="C7" s="16"/>
      <c r="D7" s="77"/>
      <c r="E7" s="77"/>
      <c r="F7" s="80"/>
      <c r="G7" s="80"/>
      <c r="H7" s="80"/>
      <c r="I7" s="44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5.5" customHeight="1">
      <c r="A8" s="83" t="s">
        <v>112</v>
      </c>
      <c r="B8" s="85" t="s">
        <v>117</v>
      </c>
      <c r="C8" s="85" t="s">
        <v>120</v>
      </c>
      <c r="D8" s="85" t="s">
        <v>121</v>
      </c>
      <c r="E8" s="88" t="s">
        <v>123</v>
      </c>
      <c r="F8" s="88" t="s">
        <v>125</v>
      </c>
      <c r="G8" s="88" t="s">
        <v>127</v>
      </c>
      <c r="H8" s="89" t="s">
        <v>5</v>
      </c>
      <c r="I8" s="91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99.75" customHeight="1">
      <c r="A9" s="97" t="str">
        <f t="shared" ref="A9:A60" si="1">IF(OR(B9&lt;&gt;"",D9&lt;&gt;""),"["&amp;TEXT($B$2,"##")&amp;"-"&amp;TEXT(ROW()-8,"##")&amp;"]","")</f>
        <v>[AUTH-1]</v>
      </c>
      <c r="B9" s="98" t="s">
        <v>133</v>
      </c>
      <c r="C9" s="98" t="s">
        <v>134</v>
      </c>
      <c r="D9" s="98" t="s">
        <v>135</v>
      </c>
      <c r="E9" s="98"/>
      <c r="F9" s="105" t="s">
        <v>20</v>
      </c>
      <c r="G9" s="107">
        <v>46318.0</v>
      </c>
      <c r="H9" s="108" t="s">
        <v>136</v>
      </c>
      <c r="I9" s="10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1.5" customHeight="1">
      <c r="A10" s="97" t="str">
        <f t="shared" si="1"/>
        <v>[AUTH-2]</v>
      </c>
      <c r="B10" s="98" t="s">
        <v>137</v>
      </c>
      <c r="C10" s="98" t="s">
        <v>138</v>
      </c>
      <c r="D10" s="98" t="s">
        <v>139</v>
      </c>
      <c r="E10" s="98"/>
      <c r="F10" s="105" t="s">
        <v>20</v>
      </c>
      <c r="G10" s="107">
        <v>46318.0</v>
      </c>
      <c r="H10" s="108" t="s">
        <v>140</v>
      </c>
      <c r="I10" s="10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9.25" customHeight="1">
      <c r="A11" s="97" t="str">
        <f t="shared" si="1"/>
        <v>[AUTH-3]</v>
      </c>
      <c r="B11" s="98" t="s">
        <v>141</v>
      </c>
      <c r="C11" s="98" t="s">
        <v>142</v>
      </c>
      <c r="D11" s="98" t="s">
        <v>143</v>
      </c>
      <c r="E11" s="98" t="s">
        <v>144</v>
      </c>
      <c r="F11" s="105" t="s">
        <v>20</v>
      </c>
      <c r="G11" s="107">
        <v>46318.0</v>
      </c>
      <c r="H11" s="108"/>
      <c r="I11" s="111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6.75" customHeight="1">
      <c r="A12" s="97" t="str">
        <f t="shared" si="1"/>
        <v>[AUTH-4]</v>
      </c>
      <c r="B12" s="98" t="s">
        <v>145</v>
      </c>
      <c r="C12" s="98" t="s">
        <v>146</v>
      </c>
      <c r="D12" s="98" t="s">
        <v>147</v>
      </c>
      <c r="E12" s="98"/>
      <c r="F12" s="105" t="s">
        <v>20</v>
      </c>
      <c r="G12" s="107">
        <v>46318.0</v>
      </c>
      <c r="H12" s="108"/>
      <c r="I12" s="10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9.0" customHeight="1">
      <c r="A13" s="97" t="str">
        <f t="shared" si="1"/>
        <v>[AUTH-5]</v>
      </c>
      <c r="B13" s="98" t="s">
        <v>148</v>
      </c>
      <c r="C13" s="98" t="s">
        <v>149</v>
      </c>
      <c r="D13" s="98" t="s">
        <v>150</v>
      </c>
      <c r="E13" s="98"/>
      <c r="F13" s="105" t="s">
        <v>20</v>
      </c>
      <c r="G13" s="107">
        <v>46318.0</v>
      </c>
      <c r="H13" s="108" t="s">
        <v>151</v>
      </c>
      <c r="I13" s="11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5.25" customHeight="1">
      <c r="A14" s="97" t="str">
        <f t="shared" si="1"/>
        <v>[AUTH-6]</v>
      </c>
      <c r="B14" s="98" t="s">
        <v>152</v>
      </c>
      <c r="C14" s="98" t="s">
        <v>153</v>
      </c>
      <c r="D14" s="98" t="s">
        <v>154</v>
      </c>
      <c r="E14" s="98"/>
      <c r="F14" s="105" t="s">
        <v>20</v>
      </c>
      <c r="G14" s="107">
        <v>46318.0</v>
      </c>
      <c r="H14" s="108" t="s">
        <v>155</v>
      </c>
      <c r="I14" s="111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05.5" customHeight="1">
      <c r="A15" s="97" t="str">
        <f t="shared" si="1"/>
        <v>[AUTH-7]</v>
      </c>
      <c r="B15" s="98" t="s">
        <v>156</v>
      </c>
      <c r="C15" s="98" t="s">
        <v>157</v>
      </c>
      <c r="D15" s="98" t="s">
        <v>158</v>
      </c>
      <c r="E15" s="98"/>
      <c r="F15" s="105" t="s">
        <v>20</v>
      </c>
      <c r="G15" s="107">
        <v>46318.0</v>
      </c>
      <c r="H15" s="108" t="s">
        <v>159</v>
      </c>
      <c r="I15" s="10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5.25" customHeight="1">
      <c r="A16" s="97" t="str">
        <f t="shared" si="1"/>
        <v>[AUTH-8]</v>
      </c>
      <c r="B16" s="98" t="s">
        <v>160</v>
      </c>
      <c r="C16" s="98" t="s">
        <v>161</v>
      </c>
      <c r="D16" s="98" t="s">
        <v>162</v>
      </c>
      <c r="E16" s="98"/>
      <c r="F16" s="105" t="s">
        <v>20</v>
      </c>
      <c r="G16" s="107">
        <v>46318.0</v>
      </c>
      <c r="H16" s="108" t="s">
        <v>163</v>
      </c>
      <c r="I16" s="11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05.5" customHeight="1">
      <c r="A17" s="97" t="str">
        <f t="shared" si="1"/>
        <v>[AUTH-9]</v>
      </c>
      <c r="B17" s="98" t="s">
        <v>164</v>
      </c>
      <c r="C17" s="98" t="s">
        <v>165</v>
      </c>
      <c r="D17" s="98" t="s">
        <v>166</v>
      </c>
      <c r="E17" s="98"/>
      <c r="F17" s="105" t="s">
        <v>20</v>
      </c>
      <c r="G17" s="107">
        <v>46318.0</v>
      </c>
      <c r="H17" s="108" t="s">
        <v>167</v>
      </c>
      <c r="I17" s="11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58.75" customHeight="1">
      <c r="A18" s="97" t="str">
        <f t="shared" si="1"/>
        <v>[AUTH-10]</v>
      </c>
      <c r="B18" s="98" t="s">
        <v>168</v>
      </c>
      <c r="C18" s="98" t="s">
        <v>169</v>
      </c>
      <c r="D18" s="98" t="s">
        <v>170</v>
      </c>
      <c r="E18" s="98"/>
      <c r="F18" s="105" t="s">
        <v>29</v>
      </c>
      <c r="G18" s="107">
        <v>46318.0</v>
      </c>
      <c r="H18" s="108" t="s">
        <v>171</v>
      </c>
      <c r="I18" s="11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9.0" customHeight="1">
      <c r="A19" s="97" t="str">
        <f t="shared" si="1"/>
        <v>[AUTH-11]</v>
      </c>
      <c r="B19" s="98" t="s">
        <v>172</v>
      </c>
      <c r="C19" s="98" t="s">
        <v>173</v>
      </c>
      <c r="D19" s="98" t="s">
        <v>174</v>
      </c>
      <c r="E19" s="98"/>
      <c r="F19" s="105" t="s">
        <v>20</v>
      </c>
      <c r="G19" s="107">
        <v>46318.0</v>
      </c>
      <c r="H19" s="108" t="s">
        <v>175</v>
      </c>
      <c r="I19" s="11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2.75" customHeight="1">
      <c r="A20" s="97" t="str">
        <f t="shared" si="1"/>
        <v>[AUTH-12]</v>
      </c>
      <c r="B20" s="98" t="s">
        <v>176</v>
      </c>
      <c r="C20" s="98" t="s">
        <v>177</v>
      </c>
      <c r="D20" s="98" t="s">
        <v>178</v>
      </c>
      <c r="E20" s="98"/>
      <c r="F20" s="105" t="s">
        <v>20</v>
      </c>
      <c r="G20" s="107">
        <v>46318.0</v>
      </c>
      <c r="H20" s="108"/>
      <c r="I20" s="11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5.25" customHeight="1">
      <c r="A21" s="97" t="str">
        <f t="shared" si="1"/>
        <v>[AUTH-13]</v>
      </c>
      <c r="B21" s="98" t="s">
        <v>179</v>
      </c>
      <c r="C21" s="98" t="s">
        <v>180</v>
      </c>
      <c r="D21" s="98" t="s">
        <v>181</v>
      </c>
      <c r="E21" s="98"/>
      <c r="F21" s="105" t="s">
        <v>29</v>
      </c>
      <c r="G21" s="107">
        <v>46318.0</v>
      </c>
      <c r="H21" s="108" t="s">
        <v>182</v>
      </c>
      <c r="I21" s="11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05.5" customHeight="1">
      <c r="A22" s="97" t="str">
        <f t="shared" si="1"/>
        <v>[AUTH-14]</v>
      </c>
      <c r="B22" s="98" t="s">
        <v>183</v>
      </c>
      <c r="C22" s="98" t="s">
        <v>184</v>
      </c>
      <c r="D22" s="98" t="s">
        <v>185</v>
      </c>
      <c r="E22" s="98"/>
      <c r="F22" s="105" t="s">
        <v>20</v>
      </c>
      <c r="G22" s="107">
        <v>46318.0</v>
      </c>
      <c r="H22" s="108" t="s">
        <v>186</v>
      </c>
      <c r="I22" s="11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9.0" customHeight="1">
      <c r="A23" s="97" t="str">
        <f t="shared" si="1"/>
        <v>[AUTH-15]</v>
      </c>
      <c r="B23" s="98" t="s">
        <v>187</v>
      </c>
      <c r="C23" s="98" t="s">
        <v>188</v>
      </c>
      <c r="D23" s="98" t="s">
        <v>189</v>
      </c>
      <c r="E23" s="98"/>
      <c r="F23" s="105" t="s">
        <v>20</v>
      </c>
      <c r="G23" s="107">
        <v>46318.0</v>
      </c>
      <c r="H23" s="108" t="s">
        <v>190</v>
      </c>
      <c r="I23" s="11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05.5" customHeight="1">
      <c r="A24" s="97" t="str">
        <f t="shared" si="1"/>
        <v>[AUTH-16]</v>
      </c>
      <c r="B24" s="98" t="s">
        <v>191</v>
      </c>
      <c r="C24" s="98" t="s">
        <v>192</v>
      </c>
      <c r="D24" s="98" t="s">
        <v>193</v>
      </c>
      <c r="E24" s="98"/>
      <c r="F24" s="105" t="s">
        <v>20</v>
      </c>
      <c r="G24" s="107">
        <v>46318.0</v>
      </c>
      <c r="H24" s="108" t="s">
        <v>194</v>
      </c>
      <c r="I24" s="11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05.5" customHeight="1">
      <c r="A25" s="97" t="str">
        <f t="shared" si="1"/>
        <v>[AUTH-17]</v>
      </c>
      <c r="B25" s="98" t="s">
        <v>195</v>
      </c>
      <c r="C25" s="98" t="s">
        <v>196</v>
      </c>
      <c r="D25" s="98" t="s">
        <v>197</v>
      </c>
      <c r="E25" s="98"/>
      <c r="F25" s="105" t="s">
        <v>20</v>
      </c>
      <c r="G25" s="107">
        <v>46318.0</v>
      </c>
      <c r="H25" s="108" t="s">
        <v>198</v>
      </c>
      <c r="I25" s="11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05.5" customHeight="1">
      <c r="A26" s="97" t="str">
        <f t="shared" si="1"/>
        <v>[AUTH-18]</v>
      </c>
      <c r="B26" s="98" t="s">
        <v>199</v>
      </c>
      <c r="C26" s="98" t="s">
        <v>200</v>
      </c>
      <c r="D26" s="98" t="s">
        <v>201</v>
      </c>
      <c r="E26" s="98"/>
      <c r="F26" s="105" t="s">
        <v>20</v>
      </c>
      <c r="G26" s="107">
        <v>46318.0</v>
      </c>
      <c r="H26" s="108" t="s">
        <v>202</v>
      </c>
      <c r="I26" s="11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13.25" customHeight="1">
      <c r="A27" s="97" t="str">
        <f t="shared" si="1"/>
        <v>[AUTH-19]</v>
      </c>
      <c r="B27" s="98" t="s">
        <v>203</v>
      </c>
      <c r="C27" s="98" t="s">
        <v>204</v>
      </c>
      <c r="D27" s="98" t="s">
        <v>205</v>
      </c>
      <c r="E27" s="98"/>
      <c r="F27" s="105" t="s">
        <v>20</v>
      </c>
      <c r="G27" s="107">
        <v>46318.0</v>
      </c>
      <c r="H27" s="108"/>
      <c r="I27" s="11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05.5" customHeight="1">
      <c r="A28" s="97" t="str">
        <f t="shared" si="1"/>
        <v>[AUTH-20]</v>
      </c>
      <c r="B28" s="98" t="s">
        <v>206</v>
      </c>
      <c r="C28" s="98" t="s">
        <v>207</v>
      </c>
      <c r="D28" s="98" t="s">
        <v>208</v>
      </c>
      <c r="E28" s="98"/>
      <c r="F28" s="105" t="s">
        <v>20</v>
      </c>
      <c r="G28" s="107">
        <v>46318.0</v>
      </c>
      <c r="H28" s="108"/>
      <c r="I28" s="11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31.75" customHeight="1">
      <c r="A29" s="97" t="str">
        <f t="shared" si="1"/>
        <v>[AUTH-21]</v>
      </c>
      <c r="B29" s="98" t="s">
        <v>209</v>
      </c>
      <c r="C29" s="98" t="s">
        <v>210</v>
      </c>
      <c r="D29" s="98" t="s">
        <v>211</v>
      </c>
      <c r="E29" s="98"/>
      <c r="F29" s="105" t="s">
        <v>20</v>
      </c>
      <c r="G29" s="107">
        <v>46318.0</v>
      </c>
      <c r="H29" s="108" t="s">
        <v>155</v>
      </c>
      <c r="I29" s="11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9.0" customHeight="1">
      <c r="A30" s="97" t="str">
        <f t="shared" si="1"/>
        <v>[AUTH-22]</v>
      </c>
      <c r="B30" s="98" t="s">
        <v>212</v>
      </c>
      <c r="C30" s="98" t="s">
        <v>213</v>
      </c>
      <c r="D30" s="98" t="s">
        <v>214</v>
      </c>
      <c r="E30" s="98"/>
      <c r="F30" s="105" t="s">
        <v>29</v>
      </c>
      <c r="G30" s="107">
        <v>46318.0</v>
      </c>
      <c r="H30" s="108" t="s">
        <v>215</v>
      </c>
      <c r="I30" s="11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9.0" customHeight="1">
      <c r="A31" s="97" t="str">
        <f t="shared" si="1"/>
        <v>[AUTH-23]</v>
      </c>
      <c r="B31" s="98" t="s">
        <v>216</v>
      </c>
      <c r="C31" s="98" t="s">
        <v>217</v>
      </c>
      <c r="D31" s="98" t="s">
        <v>218</v>
      </c>
      <c r="E31" s="98"/>
      <c r="F31" s="105" t="s">
        <v>20</v>
      </c>
      <c r="G31" s="107">
        <v>46318.0</v>
      </c>
      <c r="H31" s="108" t="s">
        <v>219</v>
      </c>
      <c r="I31" s="11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5.75" customHeight="1">
      <c r="A32" s="97" t="str">
        <f t="shared" si="1"/>
        <v>[AUTH-24]</v>
      </c>
      <c r="B32" s="98" t="s">
        <v>220</v>
      </c>
      <c r="C32" s="98" t="s">
        <v>221</v>
      </c>
      <c r="D32" s="98" t="s">
        <v>222</v>
      </c>
      <c r="E32" s="98"/>
      <c r="F32" s="105" t="s">
        <v>20</v>
      </c>
      <c r="G32" s="107">
        <v>46318.0</v>
      </c>
      <c r="H32" s="108" t="s">
        <v>223</v>
      </c>
      <c r="I32" s="11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2.75" customHeight="1">
      <c r="A33" s="97" t="str">
        <f t="shared" si="1"/>
        <v>[AUTH-25]</v>
      </c>
      <c r="B33" s="98" t="s">
        <v>224</v>
      </c>
      <c r="C33" s="98" t="s">
        <v>225</v>
      </c>
      <c r="D33" s="98" t="s">
        <v>226</v>
      </c>
      <c r="E33" s="98"/>
      <c r="F33" s="105" t="s">
        <v>20</v>
      </c>
      <c r="G33" s="107">
        <v>46318.0</v>
      </c>
      <c r="H33" s="108" t="s">
        <v>227</v>
      </c>
      <c r="I33" s="11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5.75" customHeight="1">
      <c r="A34" s="97" t="str">
        <f t="shared" si="1"/>
        <v>[AUTH-26]</v>
      </c>
      <c r="B34" s="98" t="s">
        <v>228</v>
      </c>
      <c r="C34" s="98" t="s">
        <v>229</v>
      </c>
      <c r="D34" s="98" t="s">
        <v>230</v>
      </c>
      <c r="E34" s="98"/>
      <c r="F34" s="105" t="s">
        <v>20</v>
      </c>
      <c r="G34" s="107">
        <v>46318.0</v>
      </c>
      <c r="H34" s="108" t="s">
        <v>231</v>
      </c>
      <c r="I34" s="11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5.75" customHeight="1">
      <c r="A35" s="97" t="str">
        <f t="shared" si="1"/>
        <v>[AUTH-27]</v>
      </c>
      <c r="B35" s="98" t="s">
        <v>232</v>
      </c>
      <c r="C35" s="98" t="s">
        <v>233</v>
      </c>
      <c r="D35" s="98" t="s">
        <v>234</v>
      </c>
      <c r="E35" s="98"/>
      <c r="F35" s="105" t="s">
        <v>20</v>
      </c>
      <c r="G35" s="107">
        <v>46318.0</v>
      </c>
      <c r="H35" s="108"/>
      <c r="I35" s="11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99.75" customHeight="1">
      <c r="A36" s="97" t="str">
        <f t="shared" si="1"/>
        <v>[AUTH-28]</v>
      </c>
      <c r="B36" s="98" t="s">
        <v>235</v>
      </c>
      <c r="C36" s="98" t="s">
        <v>236</v>
      </c>
      <c r="D36" s="98" t="s">
        <v>237</v>
      </c>
      <c r="E36" s="98" t="s">
        <v>238</v>
      </c>
      <c r="F36" s="105" t="s">
        <v>29</v>
      </c>
      <c r="G36" s="107">
        <v>46318.0</v>
      </c>
      <c r="H36" s="108" t="s">
        <v>239</v>
      </c>
      <c r="I36" s="11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99.75" customHeight="1">
      <c r="A37" s="97" t="str">
        <f t="shared" si="1"/>
        <v>[AUTH-29]</v>
      </c>
      <c r="B37" s="98" t="s">
        <v>240</v>
      </c>
      <c r="C37" s="98" t="s">
        <v>241</v>
      </c>
      <c r="D37" s="98" t="s">
        <v>242</v>
      </c>
      <c r="E37" s="98" t="s">
        <v>238</v>
      </c>
      <c r="F37" s="105" t="s">
        <v>29</v>
      </c>
      <c r="G37" s="107">
        <v>46318.0</v>
      </c>
      <c r="H37" s="108"/>
      <c r="I37" s="11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99.75" customHeight="1">
      <c r="A38" s="97" t="str">
        <f t="shared" si="1"/>
        <v>[AUTH-30]</v>
      </c>
      <c r="B38" s="98" t="s">
        <v>243</v>
      </c>
      <c r="C38" s="98" t="s">
        <v>244</v>
      </c>
      <c r="D38" s="98" t="s">
        <v>245</v>
      </c>
      <c r="E38" s="98" t="s">
        <v>246</v>
      </c>
      <c r="F38" s="105" t="s">
        <v>29</v>
      </c>
      <c r="G38" s="107">
        <v>46318.0</v>
      </c>
      <c r="H38" s="108" t="s">
        <v>247</v>
      </c>
      <c r="I38" s="11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97" t="str">
        <f t="shared" si="1"/>
        <v/>
      </c>
      <c r="B39" s="98"/>
      <c r="C39" s="98"/>
      <c r="D39" s="98"/>
      <c r="E39" s="98"/>
      <c r="F39" s="116"/>
      <c r="G39" s="107"/>
      <c r="H39" s="108"/>
      <c r="I39" s="11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97" t="str">
        <f t="shared" si="1"/>
        <v/>
      </c>
      <c r="B40" s="98"/>
      <c r="C40" s="98"/>
      <c r="D40" s="98"/>
      <c r="E40" s="98"/>
      <c r="F40" s="116"/>
      <c r="G40" s="117"/>
      <c r="H40" s="108"/>
      <c r="I40" s="11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97" t="str">
        <f t="shared" si="1"/>
        <v/>
      </c>
      <c r="B41" s="98"/>
      <c r="C41" s="98"/>
      <c r="D41" s="98"/>
      <c r="E41" s="98"/>
      <c r="F41" s="116"/>
      <c r="G41" s="117"/>
      <c r="H41" s="108"/>
      <c r="I41" s="11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97" t="str">
        <f t="shared" si="1"/>
        <v/>
      </c>
      <c r="B42" s="98"/>
      <c r="C42" s="98"/>
      <c r="D42" s="98"/>
      <c r="E42" s="98"/>
      <c r="F42" s="116"/>
      <c r="G42" s="117"/>
      <c r="H42" s="108"/>
      <c r="I42" s="11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97" t="str">
        <f t="shared" si="1"/>
        <v/>
      </c>
      <c r="B43" s="98"/>
      <c r="C43" s="98"/>
      <c r="D43" s="98"/>
      <c r="E43" s="98"/>
      <c r="F43" s="116"/>
      <c r="G43" s="117"/>
      <c r="H43" s="108"/>
      <c r="I43" s="11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97" t="str">
        <f t="shared" si="1"/>
        <v/>
      </c>
      <c r="B44" s="98"/>
      <c r="C44" s="98"/>
      <c r="D44" s="98"/>
      <c r="E44" s="98"/>
      <c r="F44" s="116"/>
      <c r="G44" s="117"/>
      <c r="H44" s="108"/>
      <c r="I44" s="11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97" t="str">
        <f t="shared" si="1"/>
        <v/>
      </c>
      <c r="B45" s="98"/>
      <c r="C45" s="98"/>
      <c r="D45" s="98"/>
      <c r="E45" s="98"/>
      <c r="F45" s="116"/>
      <c r="G45" s="117"/>
      <c r="H45" s="108"/>
      <c r="I45" s="11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97" t="str">
        <f t="shared" si="1"/>
        <v/>
      </c>
      <c r="B46" s="98"/>
      <c r="C46" s="98"/>
      <c r="D46" s="98"/>
      <c r="E46" s="98"/>
      <c r="F46" s="116"/>
      <c r="G46" s="117"/>
      <c r="H46" s="108"/>
      <c r="I46" s="11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97" t="str">
        <f t="shared" si="1"/>
        <v/>
      </c>
      <c r="B47" s="98"/>
      <c r="C47" s="98"/>
      <c r="D47" s="98"/>
      <c r="E47" s="98"/>
      <c r="F47" s="116"/>
      <c r="G47" s="117"/>
      <c r="H47" s="108"/>
      <c r="I47" s="11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97" t="str">
        <f t="shared" si="1"/>
        <v/>
      </c>
      <c r="B48" s="98"/>
      <c r="C48" s="98"/>
      <c r="D48" s="98"/>
      <c r="E48" s="98"/>
      <c r="F48" s="116"/>
      <c r="G48" s="117"/>
      <c r="H48" s="108"/>
      <c r="I48" s="11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97" t="str">
        <f t="shared" si="1"/>
        <v/>
      </c>
      <c r="B49" s="98"/>
      <c r="C49" s="98"/>
      <c r="D49" s="98"/>
      <c r="E49" s="98"/>
      <c r="F49" s="116"/>
      <c r="G49" s="117"/>
      <c r="H49" s="108"/>
      <c r="I49" s="11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97" t="str">
        <f t="shared" si="1"/>
        <v/>
      </c>
      <c r="B50" s="98"/>
      <c r="C50" s="98"/>
      <c r="D50" s="98"/>
      <c r="E50" s="98"/>
      <c r="F50" s="116"/>
      <c r="G50" s="117"/>
      <c r="H50" s="108"/>
      <c r="I50" s="11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97" t="str">
        <f t="shared" si="1"/>
        <v/>
      </c>
      <c r="B51" s="98"/>
      <c r="C51" s="98"/>
      <c r="D51" s="98"/>
      <c r="E51" s="98"/>
      <c r="F51" s="116"/>
      <c r="G51" s="117"/>
      <c r="H51" s="108"/>
      <c r="I51" s="11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97" t="str">
        <f t="shared" si="1"/>
        <v/>
      </c>
      <c r="B52" s="98"/>
      <c r="C52" s="98"/>
      <c r="D52" s="98"/>
      <c r="E52" s="98"/>
      <c r="F52" s="116"/>
      <c r="G52" s="117"/>
      <c r="H52" s="108"/>
      <c r="I52" s="11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97" t="str">
        <f t="shared" si="1"/>
        <v/>
      </c>
      <c r="B53" s="98"/>
      <c r="C53" s="98"/>
      <c r="D53" s="98"/>
      <c r="E53" s="98"/>
      <c r="F53" s="116"/>
      <c r="G53" s="117"/>
      <c r="H53" s="108"/>
      <c r="I53" s="11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97" t="str">
        <f t="shared" si="1"/>
        <v/>
      </c>
      <c r="B54" s="98"/>
      <c r="C54" s="98"/>
      <c r="D54" s="98"/>
      <c r="E54" s="98"/>
      <c r="F54" s="116"/>
      <c r="G54" s="117"/>
      <c r="H54" s="108"/>
      <c r="I54" s="11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97" t="str">
        <f t="shared" si="1"/>
        <v/>
      </c>
      <c r="B55" s="98"/>
      <c r="C55" s="98"/>
      <c r="D55" s="98"/>
      <c r="E55" s="98"/>
      <c r="F55" s="116"/>
      <c r="G55" s="117"/>
      <c r="H55" s="108"/>
      <c r="I55" s="11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97" t="str">
        <f t="shared" si="1"/>
        <v/>
      </c>
      <c r="B56" s="98"/>
      <c r="C56" s="98"/>
      <c r="D56" s="98"/>
      <c r="E56" s="98"/>
      <c r="F56" s="116"/>
      <c r="G56" s="117"/>
      <c r="H56" s="108"/>
      <c r="I56" s="11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97" t="str">
        <f t="shared" si="1"/>
        <v/>
      </c>
      <c r="B57" s="98"/>
      <c r="C57" s="98"/>
      <c r="D57" s="98"/>
      <c r="E57" s="98"/>
      <c r="F57" s="116"/>
      <c r="G57" s="117"/>
      <c r="H57" s="108"/>
      <c r="I57" s="11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97" t="str">
        <f t="shared" si="1"/>
        <v/>
      </c>
      <c r="B58" s="98"/>
      <c r="C58" s="98"/>
      <c r="D58" s="98"/>
      <c r="E58" s="98"/>
      <c r="F58" s="116"/>
      <c r="G58" s="117"/>
      <c r="H58" s="108"/>
      <c r="I58" s="11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97" t="str">
        <f t="shared" si="1"/>
        <v/>
      </c>
      <c r="B59" s="98"/>
      <c r="C59" s="98"/>
      <c r="D59" s="98"/>
      <c r="E59" s="98"/>
      <c r="F59" s="116"/>
      <c r="G59" s="117"/>
      <c r="H59" s="108"/>
      <c r="I59" s="11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97" t="str">
        <f t="shared" si="1"/>
        <v/>
      </c>
      <c r="B60" s="98"/>
      <c r="C60" s="98"/>
      <c r="D60" s="98"/>
      <c r="E60" s="98"/>
      <c r="F60" s="116"/>
      <c r="G60" s="117"/>
      <c r="H60" s="108"/>
      <c r="I60" s="11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11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11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11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11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11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11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11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11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11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11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11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11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11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11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11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11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11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11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11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11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11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11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11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11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11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11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11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11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11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11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11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11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11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11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11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11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11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11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11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11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11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11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11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11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11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11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11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11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11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11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11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11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11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11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11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11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11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11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11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11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11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11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11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11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11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11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11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11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11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11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11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11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11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11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11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11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11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11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11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11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11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11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11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11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11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11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11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11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11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11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11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11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11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11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11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11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11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11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11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11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11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11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11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11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11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11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11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11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11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11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11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11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11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11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11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11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11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11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11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11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11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11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11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11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11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11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11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11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11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11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11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11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11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11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11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11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11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11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11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11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11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11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11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11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11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11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11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11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11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11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11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11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11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11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11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11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11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11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11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11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11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11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11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11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11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11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11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11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11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11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11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11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11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11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11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11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11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11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11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11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11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11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11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11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11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11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11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11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11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11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11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11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11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11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11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11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11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11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11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11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qref="F9:F200">
      <formula1>$J$2:$J$6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5.43"/>
    <col customWidth="1" min="3" max="3" width="22.14"/>
    <col customWidth="1" min="4" max="6" width="10.29"/>
    <col customWidth="1" min="7" max="7" width="14.0"/>
    <col customWidth="1" min="8" max="8" width="12.0"/>
    <col customWidth="1" min="9" max="9" width="30.14"/>
    <col customWidth="1" min="10" max="26" width="9.14"/>
  </cols>
  <sheetData>
    <row r="1" ht="25.5" customHeight="1">
      <c r="A1" s="3"/>
      <c r="B1" s="118" t="s">
        <v>248</v>
      </c>
      <c r="C1" s="119"/>
      <c r="D1" s="119"/>
      <c r="E1" s="119"/>
      <c r="F1" s="119"/>
      <c r="G1" s="119"/>
      <c r="H1" s="12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21"/>
      <c r="B2" s="121"/>
      <c r="C2" s="3"/>
      <c r="D2" s="3"/>
      <c r="E2" s="3"/>
      <c r="F2" s="3"/>
      <c r="G2" s="3"/>
      <c r="H2" s="12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/>
      <c r="B3" s="123" t="s">
        <v>15</v>
      </c>
      <c r="C3" s="40" t="str">
        <f>Cover!C4</f>
        <v>CellphoneS</v>
      </c>
      <c r="D3" s="25"/>
      <c r="E3" s="124" t="s">
        <v>33</v>
      </c>
      <c r="F3" s="25"/>
      <c r="G3" s="125" t="s">
        <v>34</v>
      </c>
      <c r="H3" s="12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3"/>
      <c r="B4" s="123" t="s">
        <v>38</v>
      </c>
      <c r="C4" s="40" t="str">
        <f>Cover!C5</f>
        <v>CPS</v>
      </c>
      <c r="D4" s="25"/>
      <c r="E4" s="124" t="s">
        <v>42</v>
      </c>
      <c r="F4" s="25"/>
      <c r="G4" s="125" t="s">
        <v>43</v>
      </c>
      <c r="H4" s="12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/>
      <c r="B5" s="127" t="s">
        <v>47</v>
      </c>
      <c r="C5" s="40" t="str">
        <f>C4&amp;"_"&amp;"Test Report"&amp;"_"&amp;"v0.1"</f>
        <v>CPS_Test Report_v0.1</v>
      </c>
      <c r="D5" s="25"/>
      <c r="E5" s="124" t="s">
        <v>60</v>
      </c>
      <c r="F5" s="25"/>
      <c r="G5" s="128">
        <v>46318.0</v>
      </c>
      <c r="H5" s="12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121"/>
      <c r="B6" s="127" t="s">
        <v>249</v>
      </c>
      <c r="C6" s="55" t="s">
        <v>250</v>
      </c>
      <c r="D6" s="22"/>
      <c r="E6" s="22"/>
      <c r="F6" s="22"/>
      <c r="G6" s="22"/>
      <c r="H6" s="2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21"/>
      <c r="B7" s="59"/>
      <c r="C7" s="130"/>
      <c r="D7" s="3"/>
      <c r="E7" s="3"/>
      <c r="F7" s="3"/>
      <c r="G7" s="3"/>
      <c r="H7" s="12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59"/>
      <c r="C8" s="130"/>
      <c r="D8" s="3"/>
      <c r="E8" s="3"/>
      <c r="F8" s="3"/>
      <c r="G8" s="3"/>
      <c r="H8" s="12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31"/>
      <c r="B10" s="132" t="s">
        <v>88</v>
      </c>
      <c r="C10" s="133" t="s">
        <v>251</v>
      </c>
      <c r="D10" s="134" t="s">
        <v>252</v>
      </c>
      <c r="E10" s="133" t="s">
        <v>253</v>
      </c>
      <c r="F10" s="133" t="s">
        <v>46</v>
      </c>
      <c r="G10" s="135" t="s">
        <v>37</v>
      </c>
      <c r="H10" s="136" t="s">
        <v>48</v>
      </c>
      <c r="I10" s="136" t="s">
        <v>254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137">
        <v>1.0</v>
      </c>
      <c r="C11" s="138" t="str">
        <f>Auth!B2</f>
        <v>AUTH</v>
      </c>
      <c r="D11" s="139">
        <f>Auth!A6</f>
        <v>24</v>
      </c>
      <c r="E11" s="139">
        <f>Auth!B6</f>
        <v>6</v>
      </c>
      <c r="F11" s="139">
        <f>Auth!C6</f>
        <v>0</v>
      </c>
      <c r="G11" s="140">
        <f>Auth!D6</f>
        <v>0</v>
      </c>
      <c r="H11" s="140">
        <f>Auth!E6</f>
        <v>0</v>
      </c>
      <c r="I11" s="141">
        <f>SUM(D11:H11)</f>
        <v>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137"/>
      <c r="C12" s="138"/>
      <c r="D12" s="139"/>
      <c r="E12" s="139"/>
      <c r="F12" s="139"/>
      <c r="G12" s="140"/>
      <c r="H12" s="140"/>
      <c r="I12" s="14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142"/>
      <c r="C13" s="143" t="s">
        <v>255</v>
      </c>
      <c r="D13" s="144">
        <f t="shared" ref="D13:I13" si="1">SUM(D11:D12)</f>
        <v>24</v>
      </c>
      <c r="E13" s="144">
        <f t="shared" si="1"/>
        <v>6</v>
      </c>
      <c r="F13" s="144">
        <f t="shared" si="1"/>
        <v>0</v>
      </c>
      <c r="G13" s="144">
        <f t="shared" si="1"/>
        <v>0</v>
      </c>
      <c r="H13" s="145">
        <f t="shared" si="1"/>
        <v>0</v>
      </c>
      <c r="I13" s="145">
        <f t="shared" si="1"/>
        <v>30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137"/>
      <c r="C14" s="138"/>
      <c r="D14" s="139"/>
      <c r="E14" s="139"/>
      <c r="F14" s="139"/>
      <c r="G14" s="140"/>
      <c r="H14" s="140"/>
      <c r="I14" s="14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1" t="s">
        <v>256</v>
      </c>
      <c r="D15" s="3"/>
      <c r="E15" s="146">
        <f>(I13-F13)/I13</f>
        <v>1</v>
      </c>
      <c r="F15" s="3" t="s">
        <v>257</v>
      </c>
      <c r="G15" s="3"/>
      <c r="H15" s="7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1" t="s">
        <v>258</v>
      </c>
      <c r="D16" s="3"/>
      <c r="E16" s="147">
        <f>IF((D13+E13)=0,0,D13*100/(D13+E13))</f>
        <v>80</v>
      </c>
      <c r="F16" s="3" t="s">
        <v>257</v>
      </c>
      <c r="G16" s="3"/>
      <c r="H16" s="7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